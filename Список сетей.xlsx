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50" yWindow="570" windowWidth="28455" windowHeight="11955"/>
  </bookViews>
  <sheets>
    <sheet name="Shops" sheetId="1" r:id="rId1"/>
    <sheet name="Categories" sheetId="2" r:id="rId2"/>
  </sheets>
  <calcPr calcId="125725"/>
</workbook>
</file>

<file path=xl/calcChain.xml><?xml version="1.0" encoding="utf-8"?>
<calcChain xmlns="http://schemas.openxmlformats.org/spreadsheetml/2006/main">
  <c r="F135" i="1"/>
  <c r="F58"/>
  <c r="F102"/>
  <c r="F141"/>
  <c r="F139"/>
  <c r="F137"/>
  <c r="F133"/>
  <c r="F132"/>
  <c r="F35"/>
  <c r="F127"/>
  <c r="F126"/>
  <c r="F120"/>
  <c r="F118"/>
  <c r="F112"/>
  <c r="F110"/>
  <c r="F109"/>
  <c r="F108"/>
  <c r="F106"/>
  <c r="F104"/>
  <c r="F98"/>
  <c r="F96"/>
  <c r="F81"/>
  <c r="F75"/>
  <c r="F9"/>
  <c r="F68"/>
  <c r="F59"/>
  <c r="F53"/>
  <c r="F49"/>
  <c r="F41"/>
  <c r="F36"/>
  <c r="F30"/>
  <c r="F22"/>
  <c r="F11"/>
  <c r="F10"/>
  <c r="F5"/>
  <c r="F4"/>
  <c r="F129"/>
  <c r="F122"/>
  <c r="F114"/>
  <c r="F87"/>
  <c r="F82"/>
  <c r="F65"/>
  <c r="F56"/>
  <c r="F46"/>
  <c r="F107"/>
  <c r="F16"/>
  <c r="F7"/>
  <c r="F48"/>
  <c r="F95"/>
  <c r="F76"/>
  <c r="F55"/>
  <c r="F38"/>
  <c r="F140"/>
  <c r="F138"/>
  <c r="F136"/>
  <c r="F131"/>
  <c r="F85"/>
  <c r="F73"/>
  <c r="F123"/>
  <c r="F121"/>
  <c r="F119"/>
  <c r="F115"/>
  <c r="F113"/>
  <c r="F111"/>
  <c r="F105"/>
  <c r="F20"/>
  <c r="F101"/>
  <c r="F99"/>
  <c r="F100"/>
  <c r="F97"/>
  <c r="F94"/>
  <c r="F93"/>
  <c r="F92"/>
  <c r="F90"/>
  <c r="F91"/>
  <c r="F89"/>
  <c r="F88"/>
  <c r="F84"/>
  <c r="F83"/>
  <c r="F79"/>
  <c r="F78"/>
  <c r="F74"/>
  <c r="F80"/>
  <c r="F72"/>
  <c r="F130"/>
  <c r="F71"/>
  <c r="F70"/>
  <c r="F69"/>
  <c r="F67"/>
  <c r="F8"/>
  <c r="F63"/>
  <c r="F64"/>
  <c r="F62"/>
  <c r="F61"/>
  <c r="F60"/>
  <c r="F32"/>
  <c r="F52"/>
  <c r="F50"/>
  <c r="F51"/>
  <c r="F44"/>
  <c r="F43"/>
  <c r="F42"/>
  <c r="F39"/>
  <c r="F37"/>
  <c r="F40"/>
  <c r="F33"/>
  <c r="F31"/>
  <c r="F29"/>
  <c r="F27"/>
  <c r="F26"/>
  <c r="F25"/>
  <c r="F24"/>
  <c r="F21"/>
  <c r="F23"/>
  <c r="F19"/>
  <c r="F18"/>
  <c r="F15"/>
  <c r="F14"/>
  <c r="F13"/>
  <c r="F12"/>
  <c r="F6"/>
  <c r="F3"/>
  <c r="F2"/>
  <c r="F142"/>
  <c r="F134"/>
  <c r="F128"/>
  <c r="F77"/>
  <c r="F125"/>
  <c r="F124"/>
  <c r="F117"/>
  <c r="F116"/>
  <c r="F103"/>
  <c r="F86"/>
  <c r="F66"/>
  <c r="F57"/>
  <c r="F54"/>
  <c r="F45"/>
  <c r="F47"/>
  <c r="F34"/>
  <c r="F28"/>
  <c r="F17"/>
</calcChain>
</file>

<file path=xl/sharedStrings.xml><?xml version="1.0" encoding="utf-8"?>
<sst xmlns="http://schemas.openxmlformats.org/spreadsheetml/2006/main" count="711" uniqueCount="474">
  <si>
    <t>Компания</t>
  </si>
  <si>
    <t>Город</t>
  </si>
  <si>
    <t>Сайт</t>
  </si>
  <si>
    <t>Формат</t>
  </si>
  <si>
    <t>Кол-во тт</t>
  </si>
  <si>
    <t xml:space="preserve">Familia </t>
  </si>
  <si>
    <t>Москва</t>
  </si>
  <si>
    <t>famil.ru</t>
  </si>
  <si>
    <t>Мультиформат</t>
  </si>
  <si>
    <t xml:space="preserve">Metro СТМ, до 13:00 </t>
  </si>
  <si>
    <t>metro-cc.ru</t>
  </si>
  <si>
    <t>Гипермаркет</t>
  </si>
  <si>
    <t xml:space="preserve">Spar, до 16:00 </t>
  </si>
  <si>
    <t>Калининград</t>
  </si>
  <si>
    <t xml:space="preserve">spar-kaliningrad.ru  </t>
  </si>
  <si>
    <t>Супермаркет</t>
  </si>
  <si>
    <t xml:space="preserve">X5 Еда </t>
  </si>
  <si>
    <t>x5.ru</t>
  </si>
  <si>
    <t xml:space="preserve">Ашан, СТМ </t>
  </si>
  <si>
    <t>auchan.ru</t>
  </si>
  <si>
    <t xml:space="preserve">Ашан </t>
  </si>
  <si>
    <t xml:space="preserve">В1-Первый Выбор </t>
  </si>
  <si>
    <t>Санкт-Петербург, Москва</t>
  </si>
  <si>
    <t>v1.market</t>
  </si>
  <si>
    <t>Дискаунтер</t>
  </si>
  <si>
    <t>verno-info.ru</t>
  </si>
  <si>
    <t>Магазин у дома</t>
  </si>
  <si>
    <t>vkusvill.ru</t>
  </si>
  <si>
    <t xml:space="preserve">Доброцен, СТМ </t>
  </si>
  <si>
    <t>Санкт-Петербург</t>
  </si>
  <si>
    <t>dobrotsen.ru</t>
  </si>
  <si>
    <t xml:space="preserve">Магнит, СТМ </t>
  </si>
  <si>
    <t>Краснодар</t>
  </si>
  <si>
    <t>magnit.ru</t>
  </si>
  <si>
    <t xml:space="preserve">okmarket.ru </t>
  </si>
  <si>
    <t xml:space="preserve">Окей, СТМ </t>
  </si>
  <si>
    <t>okmarket.ru</t>
  </si>
  <si>
    <t>perekrestok.ru</t>
  </si>
  <si>
    <t>tdreal.spb.ru</t>
  </si>
  <si>
    <t xml:space="preserve">Реалъ с 15:00 (Алкоголь, Чай/кофе, Гастроном, Кулинария, ФРОВ) </t>
  </si>
  <si>
    <t xml:space="preserve">Светофор </t>
  </si>
  <si>
    <t>Svetofor-msk.ru</t>
  </si>
  <si>
    <t xml:space="preserve">Светофор. Маяк. РЛС </t>
  </si>
  <si>
    <t>РФ, Казахстан, Беларусь</t>
  </si>
  <si>
    <t>svetofor-rls.ru</t>
  </si>
  <si>
    <t xml:space="preserve">Командор, СТМ </t>
  </si>
  <si>
    <t>Красноярск</t>
  </si>
  <si>
    <t>sm-komandor.ru</t>
  </si>
  <si>
    <t xml:space="preserve">Твой дом </t>
  </si>
  <si>
    <t>Красногорск</t>
  </si>
  <si>
    <t>tvoydom.ru</t>
  </si>
  <si>
    <t xml:space="preserve">Хороший (ГК Командор) </t>
  </si>
  <si>
    <t xml:space="preserve">sm-komandor.ru </t>
  </si>
  <si>
    <t xml:space="preserve">Яндекс Лавка (ФРОВ) </t>
  </si>
  <si>
    <t>lavka.yandex.ru</t>
  </si>
  <si>
    <t>Интернет-магазин</t>
  </si>
  <si>
    <t xml:space="preserve">Ayan </t>
  </si>
  <si>
    <t>Караганда</t>
  </si>
  <si>
    <t>ayan.kz</t>
  </si>
  <si>
    <t xml:space="preserve">B2B ASEAN GROUP, до 15:00 </t>
  </si>
  <si>
    <t>Индонезия, Вьетнам, Филиппины</t>
  </si>
  <si>
    <t>b2basean.org</t>
  </si>
  <si>
    <t>Альянс деловых структур и предпринимателей стран АСЕАН. Компания, работающая в сфере подбора деловых партнеров. Имеет широкую сеть ритейла по всей стране</t>
  </si>
  <si>
    <t xml:space="preserve">Epinduo </t>
  </si>
  <si>
    <t>Китай</t>
  </si>
  <si>
    <t>epinduorussia.ru</t>
  </si>
  <si>
    <t xml:space="preserve">HoReCa-snab </t>
  </si>
  <si>
    <t>horeca-snab.ru</t>
  </si>
  <si>
    <t>Оптово-розничная компания</t>
  </si>
  <si>
    <t xml:space="preserve">IQ RETAIL </t>
  </si>
  <si>
    <t>IQRetail.pro</t>
  </si>
  <si>
    <t xml:space="preserve">KBRR </t>
  </si>
  <si>
    <t>kbrr.ru</t>
  </si>
  <si>
    <t>Дистрибьютор/логист</t>
  </si>
  <si>
    <t>Marco Впервые</t>
  </si>
  <si>
    <t>Атырау, Казахстан</t>
  </si>
  <si>
    <t>marco.kz</t>
  </si>
  <si>
    <t xml:space="preserve">Maxima Travel, с 15:00 </t>
  </si>
  <si>
    <t>maxima.travel</t>
  </si>
  <si>
    <t xml:space="preserve">Millstream </t>
  </si>
  <si>
    <t>millstream-wines.ru</t>
  </si>
  <si>
    <t>Специализированный магазин</t>
  </si>
  <si>
    <t xml:space="preserve">Organic Vill, Агропромпарк </t>
  </si>
  <si>
    <t>superfood.moscow</t>
  </si>
  <si>
    <t xml:space="preserve">PRODLY </t>
  </si>
  <si>
    <t>Самара</t>
  </si>
  <si>
    <t>prodly.ru</t>
  </si>
  <si>
    <t>Маркетплейс</t>
  </si>
  <si>
    <t xml:space="preserve">Piya International FZE </t>
  </si>
  <si>
    <t>Шарджа, ОАЭ</t>
  </si>
  <si>
    <t>piyasplanet.com</t>
  </si>
  <si>
    <t>Алматы, Казахстан</t>
  </si>
  <si>
    <t>rubymarket.kz</t>
  </si>
  <si>
    <t>Воронеж</t>
  </si>
  <si>
    <t>russhoreca.ru</t>
  </si>
  <si>
    <t xml:space="preserve">S2B </t>
  </si>
  <si>
    <t>s2brf.ru</t>
  </si>
  <si>
    <t xml:space="preserve">Skylex Group Ltd </t>
  </si>
  <si>
    <t>Шэньчжэнь/Красноярск</t>
  </si>
  <si>
    <t>skylex.org</t>
  </si>
  <si>
    <t xml:space="preserve">Umai Group </t>
  </si>
  <si>
    <t>Бишкек, Киргизия</t>
  </si>
  <si>
    <t>globus.kg</t>
  </si>
  <si>
    <t xml:space="preserve">VICTORY (ВИКТОРИ ГРУПП) </t>
  </si>
  <si>
    <t>vi-nature.ru</t>
  </si>
  <si>
    <t xml:space="preserve">Wildberries </t>
  </si>
  <si>
    <t>wildberries.ru</t>
  </si>
  <si>
    <t xml:space="preserve">АЙЭФСИЭМ ГРУПП </t>
  </si>
  <si>
    <t>ifcmgroup.ru</t>
  </si>
  <si>
    <t>Другое</t>
  </si>
  <si>
    <t xml:space="preserve">Адмирал </t>
  </si>
  <si>
    <t>Кострома</t>
  </si>
  <si>
    <t>-</t>
  </si>
  <si>
    <t xml:space="preserve">Айгуль </t>
  </si>
  <si>
    <t>Нерюнгри</t>
  </si>
  <si>
    <t>aigul.ru</t>
  </si>
  <si>
    <t>alidi.ru</t>
  </si>
  <si>
    <t xml:space="preserve">Андерсон </t>
  </si>
  <si>
    <t>cafe-anderson.ru</t>
  </si>
  <si>
    <t>Сеть ресторанов, кафе</t>
  </si>
  <si>
    <t xml:space="preserve">Аникс ТД </t>
  </si>
  <si>
    <t>Бийск</t>
  </si>
  <si>
    <t>anixtd.ru</t>
  </si>
  <si>
    <t xml:space="preserve">Ассорти Экспресс </t>
  </si>
  <si>
    <t>Ростов-на-Дону</t>
  </si>
  <si>
    <t>assorti-express.ru</t>
  </si>
  <si>
    <t xml:space="preserve">БИМ </t>
  </si>
  <si>
    <t>gastronombim.ru</t>
  </si>
  <si>
    <t>Гастроном</t>
  </si>
  <si>
    <t xml:space="preserve">Бегемаг </t>
  </si>
  <si>
    <t>Кемерово</t>
  </si>
  <si>
    <t>begemag.ru</t>
  </si>
  <si>
    <t xml:space="preserve">Бомонд, с 15:00 </t>
  </si>
  <si>
    <t xml:space="preserve">Bomond24.ru </t>
  </si>
  <si>
    <t xml:space="preserve">Булочные Ф.Вольчека </t>
  </si>
  <si>
    <t>fvolchek.ru</t>
  </si>
  <si>
    <t xml:space="preserve">VЛAVAШЕ, Бренд </t>
  </si>
  <si>
    <t>spb.vlavashe.ru</t>
  </si>
  <si>
    <t xml:space="preserve">Вход в сети </t>
  </si>
  <si>
    <t>РФ</t>
  </si>
  <si>
    <t xml:space="preserve">Высшая Лига </t>
  </si>
  <si>
    <t>vliga.com</t>
  </si>
  <si>
    <t xml:space="preserve">Высшая Лига, СТМ </t>
  </si>
  <si>
    <t xml:space="preserve">ГАЛАКТИКА </t>
  </si>
  <si>
    <t>Донецк</t>
  </si>
  <si>
    <t>galaktika.me</t>
  </si>
  <si>
    <t xml:space="preserve">Газпромнефть-Центр, СТМ </t>
  </si>
  <si>
    <t xml:space="preserve">gazprom-neft.ru </t>
  </si>
  <si>
    <t>Магазин при АЗС</t>
  </si>
  <si>
    <t xml:space="preserve">Globus, СТМ </t>
  </si>
  <si>
    <t>globus.ru</t>
  </si>
  <si>
    <t xml:space="preserve">ЕвроТранс </t>
  </si>
  <si>
    <t>trassagk.ru</t>
  </si>
  <si>
    <t xml:space="preserve">Зеленое яблоко </t>
  </si>
  <si>
    <t>Махачкала, Россия</t>
  </si>
  <si>
    <t>zelenoeyabloko.ru</t>
  </si>
  <si>
    <t xml:space="preserve">ИнтерФудГрупп </t>
  </si>
  <si>
    <t>interfoodgroup.ru</t>
  </si>
  <si>
    <t xml:space="preserve">Ирбис Маркет, Собственное производство </t>
  </si>
  <si>
    <t>Казань</t>
  </si>
  <si>
    <t>tranzit-city.com</t>
  </si>
  <si>
    <t xml:space="preserve">Транзит Сити, АЗС Ирбис </t>
  </si>
  <si>
    <t xml:space="preserve">tranzit-city.com </t>
  </si>
  <si>
    <t xml:space="preserve">Йола-Маркет </t>
  </si>
  <si>
    <t>Йошкар-Ола</t>
  </si>
  <si>
    <t>yola-agro.ru</t>
  </si>
  <si>
    <t xml:space="preserve">КОРПОРАЦИЯ ГУСТУС </t>
  </si>
  <si>
    <t>gustus.ru</t>
  </si>
  <si>
    <t xml:space="preserve">Китат РК </t>
  </si>
  <si>
    <t xml:space="preserve"> - </t>
  </si>
  <si>
    <t xml:space="preserve">Компас Здоровья </t>
  </si>
  <si>
    <t>kz-shop.ru</t>
  </si>
  <si>
    <t xml:space="preserve">КОНФЕТЕРРА, до 15:00 </t>
  </si>
  <si>
    <t>Донецк, Луганск, Краснодар</t>
  </si>
  <si>
    <t>vk.com/konfeterra?ysclid=mkzfpufgdj447099703</t>
  </si>
  <si>
    <t xml:space="preserve">Линия </t>
  </si>
  <si>
    <t>Курск</t>
  </si>
  <si>
    <t xml:space="preserve">grinn-corp.ru </t>
  </si>
  <si>
    <t xml:space="preserve">Лукошко, с 15:00 </t>
  </si>
  <si>
    <t>Уфа</t>
  </si>
  <si>
    <t>ufaluk.ru</t>
  </si>
  <si>
    <t>shop.mgnl.ru</t>
  </si>
  <si>
    <t>Вологда</t>
  </si>
  <si>
    <t>maxi-retail.ru</t>
  </si>
  <si>
    <t xml:space="preserve">Макси СТМ, до 15:00 </t>
  </si>
  <si>
    <t xml:space="preserve">maxi-retail.ru </t>
  </si>
  <si>
    <t xml:space="preserve">Мега Рост, до 15:00 </t>
  </si>
  <si>
    <t xml:space="preserve">Меркурий </t>
  </si>
  <si>
    <t>Архангельская область</t>
  </si>
  <si>
    <t xml:space="preserve"> -</t>
  </si>
  <si>
    <t>Тольятти</t>
  </si>
  <si>
    <t>mindalmarket.ru</t>
  </si>
  <si>
    <t>Тольятти, Россия</t>
  </si>
  <si>
    <t xml:space="preserve">Моя авоська </t>
  </si>
  <si>
    <t>vk.com/ma_vologda?ysclid=m2uluk5iju809998758</t>
  </si>
  <si>
    <t>Набережные Челны</t>
  </si>
  <si>
    <t>nahodka-magazin.ru</t>
  </si>
  <si>
    <t xml:space="preserve">Находка </t>
  </si>
  <si>
    <t xml:space="preserve">Низкоцен </t>
  </si>
  <si>
    <t>Омск</t>
  </si>
  <si>
    <t>nizkocen.ru</t>
  </si>
  <si>
    <t>PALLET, МКД Трейд Впервые</t>
  </si>
  <si>
    <t>pallet-retail.ru; mastertorg.org; taplink.cc/mkd_treid</t>
  </si>
  <si>
    <t>svetoforspb.ru</t>
  </si>
  <si>
    <t xml:space="preserve">Пекарня Буханка </t>
  </si>
  <si>
    <t>Москва, Санкт-Петербург</t>
  </si>
  <si>
    <t>buhanka.ru</t>
  </si>
  <si>
    <t xml:space="preserve">Пеликан </t>
  </si>
  <si>
    <t>vk.com/pelikan63</t>
  </si>
  <si>
    <t xml:space="preserve">Посылторг </t>
  </si>
  <si>
    <t>Ковров</t>
  </si>
  <si>
    <t>posyltorg33.ru</t>
  </si>
  <si>
    <t xml:space="preserve">Пуд </t>
  </si>
  <si>
    <t>Симферополь</t>
  </si>
  <si>
    <t>pudmarket.ru</t>
  </si>
  <si>
    <t xml:space="preserve">Разливной рай </t>
  </si>
  <si>
    <t>kegavrn.ru</t>
  </si>
  <si>
    <t xml:space="preserve">Робин Фуд </t>
  </si>
  <si>
    <t>Пенза</t>
  </si>
  <si>
    <t xml:space="preserve">Рядом </t>
  </si>
  <si>
    <t>Армавир</t>
  </si>
  <si>
    <t>ryadom-market.ru</t>
  </si>
  <si>
    <t xml:space="preserve">САНАР </t>
  </si>
  <si>
    <t>Чебоксары</t>
  </si>
  <si>
    <t>sanar.su</t>
  </si>
  <si>
    <t>semishagoff.org</t>
  </si>
  <si>
    <t xml:space="preserve">Каравелла ТД </t>
  </si>
  <si>
    <t>Архангельск</t>
  </si>
  <si>
    <t xml:space="preserve">ЛФБ Торговый дом </t>
  </si>
  <si>
    <t>lfb.su</t>
  </si>
  <si>
    <t xml:space="preserve">Фуд-Мастер </t>
  </si>
  <si>
    <t>Новосибирск</t>
  </si>
  <si>
    <t xml:space="preserve">food-master.ru </t>
  </si>
  <si>
    <t xml:space="preserve">Ценорез </t>
  </si>
  <si>
    <t>cenorez.com</t>
  </si>
  <si>
    <t xml:space="preserve">Экомаркет </t>
  </si>
  <si>
    <t xml:space="preserve">ecomarket.ru </t>
  </si>
  <si>
    <t xml:space="preserve">Ю Маркет </t>
  </si>
  <si>
    <t>Калининград, Россия</t>
  </si>
  <si>
    <t>y-market.ru</t>
  </si>
  <si>
    <t xml:space="preserve">Азбука Вкуса </t>
  </si>
  <si>
    <t>av.ru</t>
  </si>
  <si>
    <t xml:space="preserve">Верный </t>
  </si>
  <si>
    <t xml:space="preserve">Командор </t>
  </si>
  <si>
    <t xml:space="preserve">Мираторг </t>
  </si>
  <si>
    <t>miratorg.ru</t>
  </si>
  <si>
    <t xml:space="preserve">Байрам </t>
  </si>
  <si>
    <t>Уфа, Набережные Челны</t>
  </si>
  <si>
    <t xml:space="preserve">batyr-rb.ru </t>
  </si>
  <si>
    <t>Бакалея. Зернопродукты</t>
  </si>
  <si>
    <t>Безалкогольные напитки, соки, воды</t>
  </si>
  <si>
    <t>Вина, тихие вина, игристые вина</t>
  </si>
  <si>
    <t>Готовые блюда. Кулинария</t>
  </si>
  <si>
    <t>Детское питание</t>
  </si>
  <si>
    <t>Джемы, сиропы, варенье, соусы</t>
  </si>
  <si>
    <t>Другое non-food</t>
  </si>
  <si>
    <t>Замороженные продукты. П/ф. Мороженое</t>
  </si>
  <si>
    <t>Здоровое питание. Спортивное питание. БАДы</t>
  </si>
  <si>
    <t>Кондитерская, хлебопекарная продукция</t>
  </si>
  <si>
    <t>Консервация: овощная, рыбная, мясная</t>
  </si>
  <si>
    <t>Корма для животных</t>
  </si>
  <si>
    <t>Крепкий алкоголь</t>
  </si>
  <si>
    <t>Макароны. Приправы. Соусы и специи</t>
  </si>
  <si>
    <t>Мед и продукты пчеловодства</t>
  </si>
  <si>
    <t>Молочная продукция. Сыры. Творог и творожная масса</t>
  </si>
  <si>
    <t>Мясные, колбасные изделия, деликатесы</t>
  </si>
  <si>
    <t>Мясо. Мясо птицы. Яйцо</t>
  </si>
  <si>
    <t>Оборудование для ритейла</t>
  </si>
  <si>
    <t>Овощи. Фрукты</t>
  </si>
  <si>
    <t>Пищевые ингредиенты для СП</t>
  </si>
  <si>
    <t>Растительные жиры</t>
  </si>
  <si>
    <t>Рыба и морепродукты</t>
  </si>
  <si>
    <t>Слабоалкогольные напитки, пиво</t>
  </si>
  <si>
    <t>Снэки, ореxи, суxофрукты</t>
  </si>
  <si>
    <t>Табак и табачные изделия</t>
  </si>
  <si>
    <t>Товары прикассовой зоны food</t>
  </si>
  <si>
    <t>Чай, кофе, какао</t>
  </si>
  <si>
    <t>Масштаб</t>
  </si>
  <si>
    <t xml:space="preserve">Metro Cash&amp;Carry </t>
  </si>
  <si>
    <t xml:space="preserve">vkusvill.ru </t>
  </si>
  <si>
    <t xml:space="preserve">Доброцен </t>
  </si>
  <si>
    <t xml:space="preserve">lenta.com </t>
  </si>
  <si>
    <t xml:space="preserve">x5.ru </t>
  </si>
  <si>
    <t xml:space="preserve">Самокат </t>
  </si>
  <si>
    <t xml:space="preserve">samokat.ru </t>
  </si>
  <si>
    <t xml:space="preserve">Токио-City, Bahroma, Городские кондитерские №1 </t>
  </si>
  <si>
    <t>tokyo-city.ru</t>
  </si>
  <si>
    <t>Black Star Burger Впервые</t>
  </si>
  <si>
    <t>blackstarburger.ru</t>
  </si>
  <si>
    <t>Пиццерия, фаст-фуд</t>
  </si>
  <si>
    <t xml:space="preserve">CoffeeBON </t>
  </si>
  <si>
    <t>coffeebon.ru</t>
  </si>
  <si>
    <t>Heilongjiang Eurasia International Supply Chain Management Co., Ltd Впервые</t>
  </si>
  <si>
    <t>Харбин, Китай</t>
  </si>
  <si>
    <t>hljeurasia.cn</t>
  </si>
  <si>
    <t>PizzaFabrica Впервые</t>
  </si>
  <si>
    <t>Сургут</t>
  </si>
  <si>
    <t>pizzafabrika.ru; pfinvest.ru</t>
  </si>
  <si>
    <t xml:space="preserve">UVENCO </t>
  </si>
  <si>
    <t xml:space="preserve">uvenco.ru </t>
  </si>
  <si>
    <t xml:space="preserve">Агрокомплекс </t>
  </si>
  <si>
    <t>agrokomplex.ru</t>
  </si>
  <si>
    <t xml:space="preserve">Алиди Проф (HoReCa) </t>
  </si>
  <si>
    <t>Балтийская ярмарка Впервые</t>
  </si>
  <si>
    <t>balt-yarmarka.ru</t>
  </si>
  <si>
    <t xml:space="preserve">ВМЕСТЕ </t>
  </si>
  <si>
    <t xml:space="preserve">universamvmeste.ru </t>
  </si>
  <si>
    <t>Универсам</t>
  </si>
  <si>
    <t xml:space="preserve">ЕвроФудс </t>
  </si>
  <si>
    <t>efspb.ru</t>
  </si>
  <si>
    <t>GUSTUS Впервые</t>
  </si>
  <si>
    <t xml:space="preserve">Колхоз </t>
  </si>
  <si>
    <t>kolxozspb.orgs.biz</t>
  </si>
  <si>
    <t xml:space="preserve">Леноблпотребсоюз </t>
  </si>
  <si>
    <t>Пушкин, Санкт-Петербург</t>
  </si>
  <si>
    <t>lospo.ru</t>
  </si>
  <si>
    <t xml:space="preserve">Мишки Bakery </t>
  </si>
  <si>
    <t>mishka-bakery.orgs.biz</t>
  </si>
  <si>
    <t xml:space="preserve">На_Полке </t>
  </si>
  <si>
    <t>napolke.ru</t>
  </si>
  <si>
    <t xml:space="preserve">Парус Торг, логист сети Светофор </t>
  </si>
  <si>
    <t xml:space="preserve">Петровский </t>
  </si>
  <si>
    <t>petrovsky.ru</t>
  </si>
  <si>
    <t>Пивоман Впервые</t>
  </si>
  <si>
    <t>Pivoman.com</t>
  </si>
  <si>
    <t xml:space="preserve">Пироговый Дворик </t>
  </si>
  <si>
    <t>pirogov-dvorik.ru</t>
  </si>
  <si>
    <t xml:space="preserve">Почта России </t>
  </si>
  <si>
    <t xml:space="preserve">pochta.ru </t>
  </si>
  <si>
    <t xml:space="preserve">Ресторанам Надо </t>
  </si>
  <si>
    <t>restoranamnado.ru</t>
  </si>
  <si>
    <t xml:space="preserve">РэйнБлэйд </t>
  </si>
  <si>
    <t>rainblade.ru</t>
  </si>
  <si>
    <t xml:space="preserve">Семишагофф </t>
  </si>
  <si>
    <t xml:space="preserve">Сити Гурмэ </t>
  </si>
  <si>
    <t>Мурманск</t>
  </si>
  <si>
    <t>citygurme.ru</t>
  </si>
  <si>
    <t>Аврора ТД Впервые</t>
  </si>
  <si>
    <t>td-aurora.ru</t>
  </si>
  <si>
    <t xml:space="preserve">ФУНТ </t>
  </si>
  <si>
    <t>Псков</t>
  </si>
  <si>
    <t xml:space="preserve">Хлебник Маркет </t>
  </si>
  <si>
    <t>xleb.ru</t>
  </si>
  <si>
    <t>Сеть пекарен</t>
  </si>
  <si>
    <t xml:space="preserve">Шоколадница </t>
  </si>
  <si>
    <t xml:space="preserve">shoko.ru </t>
  </si>
  <si>
    <t xml:space="preserve">Эффекта Групп </t>
  </si>
  <si>
    <t>effectaspb.ru</t>
  </si>
  <si>
    <t xml:space="preserve">ЮСТА </t>
  </si>
  <si>
    <t>usta.group</t>
  </si>
  <si>
    <t xml:space="preserve">ОКЕЙ </t>
  </si>
  <si>
    <t xml:space="preserve">Вкустер </t>
  </si>
  <si>
    <t>vkuster.ru</t>
  </si>
  <si>
    <t xml:space="preserve">Хороший выбор </t>
  </si>
  <si>
    <t>all-rr.ru</t>
  </si>
  <si>
    <t xml:space="preserve">Ruby Market </t>
  </si>
  <si>
    <t xml:space="preserve">RussHoReCa </t>
  </si>
  <si>
    <t xml:space="preserve">ВкусВилл  </t>
  </si>
  <si>
    <t xml:space="preserve">ВкусВилл СТМ  </t>
  </si>
  <si>
    <t xml:space="preserve">Лента  </t>
  </si>
  <si>
    <t xml:space="preserve">Магнит </t>
  </si>
  <si>
    <t xml:space="preserve">Магнолия  </t>
  </si>
  <si>
    <t xml:space="preserve">Магнолия СТМ </t>
  </si>
  <si>
    <t xml:space="preserve">Макси  </t>
  </si>
  <si>
    <t xml:space="preserve">Миндаль </t>
  </si>
  <si>
    <t xml:space="preserve">Находка СТМ </t>
  </si>
  <si>
    <t xml:space="preserve">Перекресток  </t>
  </si>
  <si>
    <t xml:space="preserve">Пятерочка </t>
  </si>
  <si>
    <t xml:space="preserve">Реалъ </t>
  </si>
  <si>
    <t>Логотип</t>
  </si>
  <si>
    <t>ayan.jpg</t>
  </si>
  <si>
    <t>b2b-asean-group.jpg</t>
  </si>
  <si>
    <t>coffeebon.jpg</t>
  </si>
  <si>
    <t>epinduo.jpg</t>
  </si>
  <si>
    <t>globus.jpg</t>
  </si>
  <si>
    <t>iq-retail.jpg</t>
  </si>
  <si>
    <t>kbrr.jpg</t>
  </si>
  <si>
    <t>metro-cash-carry.jpg</t>
  </si>
  <si>
    <t>metro-stm.jpg</t>
  </si>
  <si>
    <t>millstream.jpg</t>
  </si>
  <si>
    <t>organic-vill.jpg</t>
  </si>
  <si>
    <t>prodly.jpg</t>
  </si>
  <si>
    <t>russhoreca.jpg</t>
  </si>
  <si>
    <t>s2b.jpg</t>
  </si>
  <si>
    <t>skylex-group-ltd.jpg</t>
  </si>
  <si>
    <t>spar.jpg</t>
  </si>
  <si>
    <t>umai-group.jpg</t>
  </si>
  <si>
    <t>uvenco.jpg</t>
  </si>
  <si>
    <t>victory-viktori-grupp.jpg</t>
  </si>
  <si>
    <t>vlavashe.jpg</t>
  </si>
  <si>
    <t>avrora-td-vpervye.jpg</t>
  </si>
  <si>
    <t>azbukavkusa.jpg</t>
  </si>
  <si>
    <t>aygul.jpg</t>
  </si>
  <si>
    <t>ayefsiem-grupp.jpg</t>
  </si>
  <si>
    <t>alidi-prof-horeca.jpg</t>
  </si>
  <si>
    <t>anderson.jpg</t>
  </si>
  <si>
    <t>aniks-td.jpg</t>
  </si>
  <si>
    <t>assorti.jpg</t>
  </si>
  <si>
    <t>ashan.jpg</t>
  </si>
  <si>
    <t>bayram.jpg</t>
  </si>
  <si>
    <t>baltiyskaya-yarmarka-vpervye.jpg</t>
  </si>
  <si>
    <t>begemag.jpg</t>
  </si>
  <si>
    <t>bim.jpg</t>
  </si>
  <si>
    <t>bomond.jpg</t>
  </si>
  <si>
    <t>bulochnye-f-volcheka.jpg</t>
  </si>
  <si>
    <t>v1-pervyy-vybor.jpg</t>
  </si>
  <si>
    <t>vernyy.jpg</t>
  </si>
  <si>
    <t>vkusvill.jpg</t>
  </si>
  <si>
    <t>vkusvill-stm.jpg</t>
  </si>
  <si>
    <t>vmeste.jpg</t>
  </si>
  <si>
    <t>vysshaya-liga.jpg</t>
  </si>
  <si>
    <t>gazpromneft-centr.jpg</t>
  </si>
  <si>
    <t>galaktika.jpg</t>
  </si>
  <si>
    <t>dobrocen.jpg</t>
  </si>
  <si>
    <t>evrotrans.jpg</t>
  </si>
  <si>
    <t>evrofuds.jpg</t>
  </si>
  <si>
    <t>zelenoe-yabloko.jpg</t>
  </si>
  <si>
    <t>interfudgrupp.jpg</t>
  </si>
  <si>
    <t>irbis-market.jpg</t>
  </si>
  <si>
    <t>yola-market.jpg</t>
  </si>
  <si>
    <t>kolhoz.jpg</t>
  </si>
  <si>
    <t>komandor.jpg</t>
  </si>
  <si>
    <t>kompas-zdorovya.jpg</t>
  </si>
  <si>
    <t>korporaciya-gustus.jpg</t>
  </si>
  <si>
    <t>lenta.jpg</t>
  </si>
  <si>
    <t>liniya.jpg</t>
  </si>
  <si>
    <t>lukoshko.jpg</t>
  </si>
  <si>
    <t>lfb-torgovyy-dom.jpg</t>
  </si>
  <si>
    <t>magnit.jpg</t>
  </si>
  <si>
    <t>magnoliya.jpg</t>
  </si>
  <si>
    <t>magnoliya-stm.jpg</t>
  </si>
  <si>
    <t>maksi.jpg</t>
  </si>
  <si>
    <t>maksi-stm.jpg</t>
  </si>
  <si>
    <t>mindal.jpg</t>
  </si>
  <si>
    <t>miratorg.jpg</t>
  </si>
  <si>
    <t>mishki-bakery.jpg</t>
  </si>
  <si>
    <t>na-polke.jpg</t>
  </si>
  <si>
    <t>nahodka-converted.jpg</t>
  </si>
  <si>
    <t>nahodka-stm.jpg</t>
  </si>
  <si>
    <t>nizkocen.jpg</t>
  </si>
  <si>
    <t>okay.jpg</t>
  </si>
  <si>
    <t>parus-torg.jpg</t>
  </si>
  <si>
    <t>pekarnya-buhanka.jpg</t>
  </si>
  <si>
    <t>perekrestok.jpg</t>
  </si>
  <si>
    <t>petrovskiy.jpg</t>
  </si>
  <si>
    <t>pivoman-vpervye.jpg</t>
  </si>
  <si>
    <t>pirogovyy-dvorik.jpg</t>
  </si>
  <si>
    <t>posyltorg.jpg</t>
  </si>
  <si>
    <t>pochta-rossii.jpg</t>
  </si>
  <si>
    <t>pud.jpg</t>
  </si>
  <si>
    <t>pyaterochka.jpg</t>
  </si>
  <si>
    <t>razlivnoy-ray.jpg</t>
  </si>
  <si>
    <t>real-2.jpg</t>
  </si>
  <si>
    <t>real-s-15-00-alkogol.jpg</t>
  </si>
  <si>
    <t>restoranam-nado.jpg</t>
  </si>
  <si>
    <t>reynbleyd.jpg</t>
  </si>
  <si>
    <t>ryadom.jpg</t>
  </si>
  <si>
    <t>sanar.jpg</t>
  </si>
  <si>
    <t>svetofor.jpg</t>
  </si>
  <si>
    <t>svetofor-mayak-rls.jpg</t>
  </si>
  <si>
    <t>semishagoff.jpg</t>
  </si>
  <si>
    <t>siti-gurme.jpg</t>
  </si>
  <si>
    <t>tvoy-dom.jpg</t>
  </si>
  <si>
    <t>tranzit-siti.jpg</t>
  </si>
  <si>
    <t>fud-master.jpg</t>
  </si>
  <si>
    <t>hlebnik-market.jpg</t>
  </si>
  <si>
    <t>horoshiy-gk-komandor.jpg</t>
  </si>
  <si>
    <t>horoshiy-vybor.jpg</t>
  </si>
  <si>
    <t>shokoladnica.jpg</t>
  </si>
  <si>
    <t>ekomarket.jpg</t>
  </si>
  <si>
    <t>effekta-grupp.jpg</t>
  </si>
  <si>
    <t>yu-market.jpg</t>
  </si>
  <si>
    <t>yandeks-lavka-frov.jpg</t>
  </si>
  <si>
    <t>x5.jpg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</si>
</sst>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tabSelected="1" topLeftCell="A122" workbookViewId="0">
      <selection activeCell="H137" sqref="H137"/>
    </sheetView>
  </sheetViews>
  <sheetFormatPr defaultRowHeight="15"/>
  <cols>
    <col min="1" max="1" width="24.7109375" customWidth="1"/>
    <col min="2" max="2" width="29.85546875" customWidth="1"/>
    <col min="3" max="3" width="29.42578125" customWidth="1"/>
    <col min="4" max="4" width="23.140625" customWidth="1"/>
    <col min="5" max="5" width="11.42578125" customWidth="1"/>
    <col min="6" max="6" width="15.85546875" style="1" customWidth="1"/>
    <col min="7" max="7" width="21.28515625" customWidth="1"/>
  </cols>
  <sheetData>
    <row r="1" spans="1:7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277</v>
      </c>
      <c r="G1" t="s">
        <v>369</v>
      </c>
    </row>
    <row r="2" spans="1:7">
      <c r="A2" s="2" t="s">
        <v>56</v>
      </c>
      <c r="B2" s="2" t="s">
        <v>57</v>
      </c>
      <c r="C2" s="2" t="s">
        <v>58</v>
      </c>
      <c r="D2" s="2" t="s">
        <v>15</v>
      </c>
      <c r="E2" s="2">
        <v>35</v>
      </c>
      <c r="F2" s="7" t="str">
        <f t="shared" ref="F2:F33" si="0">IF(E2&lt;=200, "Локальный", IF(E2&lt;=1000, "Региональный", IF(E2&gt;1000, "Федеральный", "")))</f>
        <v>Локальный</v>
      </c>
      <c r="G2" s="2" t="s">
        <v>370</v>
      </c>
    </row>
    <row r="3" spans="1:7">
      <c r="A3" s="2" t="s">
        <v>59</v>
      </c>
      <c r="B3" s="2" t="s">
        <v>60</v>
      </c>
      <c r="C3" s="2" t="s">
        <v>61</v>
      </c>
      <c r="D3" s="2" t="s">
        <v>62</v>
      </c>
      <c r="E3" s="2">
        <v>30000</v>
      </c>
      <c r="F3" s="7" t="str">
        <f t="shared" si="0"/>
        <v>Федеральный</v>
      </c>
      <c r="G3" s="2" t="s">
        <v>371</v>
      </c>
    </row>
    <row r="4" spans="1:7">
      <c r="A4" s="2" t="s">
        <v>287</v>
      </c>
      <c r="B4" s="2" t="s">
        <v>29</v>
      </c>
      <c r="C4" s="2" t="s">
        <v>288</v>
      </c>
      <c r="D4" s="2" t="s">
        <v>289</v>
      </c>
      <c r="E4" s="2">
        <v>14</v>
      </c>
      <c r="F4" s="8" t="str">
        <f t="shared" si="0"/>
        <v>Локальный</v>
      </c>
      <c r="G4" s="2"/>
    </row>
    <row r="5" spans="1:7">
      <c r="A5" s="2" t="s">
        <v>290</v>
      </c>
      <c r="B5" s="2" t="s">
        <v>29</v>
      </c>
      <c r="C5" s="2" t="s">
        <v>291</v>
      </c>
      <c r="D5" s="2" t="s">
        <v>119</v>
      </c>
      <c r="E5" s="2">
        <v>40</v>
      </c>
      <c r="F5" s="8" t="str">
        <f t="shared" si="0"/>
        <v>Локальный</v>
      </c>
      <c r="G5" s="2" t="s">
        <v>372</v>
      </c>
    </row>
    <row r="6" spans="1:7">
      <c r="A6" s="2" t="s">
        <v>63</v>
      </c>
      <c r="B6" s="2" t="s">
        <v>64</v>
      </c>
      <c r="C6" s="2" t="s">
        <v>65</v>
      </c>
      <c r="D6" s="2" t="s">
        <v>55</v>
      </c>
      <c r="E6" s="2">
        <v>15</v>
      </c>
      <c r="F6" s="7" t="str">
        <f t="shared" si="0"/>
        <v>Локальный</v>
      </c>
      <c r="G6" s="2" t="s">
        <v>373</v>
      </c>
    </row>
    <row r="7" spans="1:7">
      <c r="A7" s="2" t="s">
        <v>5</v>
      </c>
      <c r="B7" s="3" t="s">
        <v>6</v>
      </c>
      <c r="C7" s="2" t="s">
        <v>7</v>
      </c>
      <c r="D7" s="2" t="s">
        <v>8</v>
      </c>
      <c r="E7" s="2">
        <v>500</v>
      </c>
      <c r="F7" s="7" t="str">
        <f t="shared" si="0"/>
        <v>Региональный</v>
      </c>
      <c r="G7" s="2"/>
    </row>
    <row r="8" spans="1:7">
      <c r="A8" s="2" t="s">
        <v>149</v>
      </c>
      <c r="B8" s="2" t="s">
        <v>6</v>
      </c>
      <c r="C8" s="2" t="s">
        <v>150</v>
      </c>
      <c r="D8" s="2" t="s">
        <v>11</v>
      </c>
      <c r="E8" s="2">
        <v>20</v>
      </c>
      <c r="F8" s="7" t="str">
        <f t="shared" si="0"/>
        <v>Локальный</v>
      </c>
      <c r="G8" s="2" t="s">
        <v>374</v>
      </c>
    </row>
    <row r="9" spans="1:7">
      <c r="A9" s="2" t="s">
        <v>310</v>
      </c>
      <c r="B9" s="2" t="s">
        <v>29</v>
      </c>
      <c r="C9" s="2" t="s">
        <v>167</v>
      </c>
      <c r="D9" s="2" t="s">
        <v>68</v>
      </c>
      <c r="E9" s="2">
        <v>1</v>
      </c>
      <c r="F9" s="8" t="str">
        <f t="shared" si="0"/>
        <v>Локальный</v>
      </c>
      <c r="G9" s="2" t="s">
        <v>374</v>
      </c>
    </row>
    <row r="10" spans="1:7">
      <c r="A10" s="2" t="s">
        <v>292</v>
      </c>
      <c r="B10" s="2" t="s">
        <v>293</v>
      </c>
      <c r="C10" s="2" t="s">
        <v>294</v>
      </c>
      <c r="D10" s="2" t="s">
        <v>68</v>
      </c>
      <c r="E10" s="2">
        <v>20</v>
      </c>
      <c r="F10" s="8" t="str">
        <f t="shared" si="0"/>
        <v>Локальный</v>
      </c>
      <c r="G10" s="2"/>
    </row>
    <row r="11" spans="1:7">
      <c r="A11" s="2" t="s">
        <v>66</v>
      </c>
      <c r="B11" s="2" t="s">
        <v>29</v>
      </c>
      <c r="C11" s="2" t="s">
        <v>67</v>
      </c>
      <c r="D11" s="2" t="s">
        <v>68</v>
      </c>
      <c r="E11" s="2">
        <v>1</v>
      </c>
      <c r="F11" s="8" t="str">
        <f t="shared" si="0"/>
        <v>Локальный</v>
      </c>
      <c r="G11" s="2"/>
    </row>
    <row r="12" spans="1:7">
      <c r="A12" s="2" t="s">
        <v>69</v>
      </c>
      <c r="B12" s="2" t="s">
        <v>6</v>
      </c>
      <c r="C12" s="2" t="s">
        <v>70</v>
      </c>
      <c r="D12" s="2" t="s">
        <v>55</v>
      </c>
      <c r="E12" s="2">
        <v>100000</v>
      </c>
      <c r="F12" s="7" t="str">
        <f t="shared" si="0"/>
        <v>Федеральный</v>
      </c>
      <c r="G12" s="2" t="s">
        <v>375</v>
      </c>
    </row>
    <row r="13" spans="1:7">
      <c r="A13" s="2" t="s">
        <v>71</v>
      </c>
      <c r="B13" s="2" t="s">
        <v>6</v>
      </c>
      <c r="C13" s="2" t="s">
        <v>72</v>
      </c>
      <c r="D13" s="2" t="s">
        <v>73</v>
      </c>
      <c r="E13" s="2">
        <v>30000</v>
      </c>
      <c r="F13" s="7" t="str">
        <f t="shared" si="0"/>
        <v>Федеральный</v>
      </c>
      <c r="G13" s="2" t="s">
        <v>376</v>
      </c>
    </row>
    <row r="14" spans="1:7">
      <c r="A14" s="2" t="s">
        <v>74</v>
      </c>
      <c r="B14" s="2" t="s">
        <v>75</v>
      </c>
      <c r="C14" s="2" t="s">
        <v>76</v>
      </c>
      <c r="D14" s="2" t="s">
        <v>15</v>
      </c>
      <c r="E14" s="2">
        <v>19</v>
      </c>
      <c r="F14" s="7" t="str">
        <f t="shared" si="0"/>
        <v>Локальный</v>
      </c>
      <c r="G14" s="2"/>
    </row>
    <row r="15" spans="1:7">
      <c r="A15" s="2" t="s">
        <v>77</v>
      </c>
      <c r="B15" s="2" t="s">
        <v>6</v>
      </c>
      <c r="C15" s="2" t="s">
        <v>78</v>
      </c>
      <c r="D15" s="2" t="s">
        <v>8</v>
      </c>
      <c r="E15" s="2">
        <v>5</v>
      </c>
      <c r="F15" s="7" t="str">
        <f t="shared" si="0"/>
        <v>Локальный</v>
      </c>
      <c r="G15" s="2"/>
    </row>
    <row r="16" spans="1:7">
      <c r="A16" s="2" t="s">
        <v>278</v>
      </c>
      <c r="B16" s="2" t="s">
        <v>6</v>
      </c>
      <c r="C16" s="2" t="s">
        <v>10</v>
      </c>
      <c r="D16" s="2" t="s">
        <v>11</v>
      </c>
      <c r="E16" s="2">
        <v>93</v>
      </c>
      <c r="F16" s="8" t="str">
        <f t="shared" si="0"/>
        <v>Локальный</v>
      </c>
      <c r="G16" s="2" t="s">
        <v>377</v>
      </c>
    </row>
    <row r="17" spans="1:7">
      <c r="A17" s="2" t="s">
        <v>9</v>
      </c>
      <c r="B17" s="2" t="s">
        <v>6</v>
      </c>
      <c r="C17" s="2" t="s">
        <v>10</v>
      </c>
      <c r="D17" s="2" t="s">
        <v>11</v>
      </c>
      <c r="E17" s="2">
        <v>93</v>
      </c>
      <c r="F17" s="7" t="str">
        <f t="shared" si="0"/>
        <v>Локальный</v>
      </c>
      <c r="G17" s="2" t="s">
        <v>378</v>
      </c>
    </row>
    <row r="18" spans="1:7">
      <c r="A18" s="2" t="s">
        <v>79</v>
      </c>
      <c r="B18" s="2" t="s">
        <v>29</v>
      </c>
      <c r="C18" s="2" t="s">
        <v>80</v>
      </c>
      <c r="D18" s="2" t="s">
        <v>81</v>
      </c>
      <c r="E18" s="2">
        <v>370</v>
      </c>
      <c r="F18" s="7" t="str">
        <f t="shared" si="0"/>
        <v>Региональный</v>
      </c>
      <c r="G18" s="2" t="s">
        <v>379</v>
      </c>
    </row>
    <row r="19" spans="1:7">
      <c r="A19" s="2" t="s">
        <v>82</v>
      </c>
      <c r="B19" s="2" t="s">
        <v>6</v>
      </c>
      <c r="C19" s="2" t="s">
        <v>83</v>
      </c>
      <c r="D19" s="2" t="s">
        <v>68</v>
      </c>
      <c r="E19" s="2">
        <v>1</v>
      </c>
      <c r="F19" s="7" t="str">
        <f t="shared" si="0"/>
        <v>Локальный</v>
      </c>
      <c r="G19" s="2" t="s">
        <v>380</v>
      </c>
    </row>
    <row r="20" spans="1:7">
      <c r="A20" s="2" t="s">
        <v>201</v>
      </c>
      <c r="B20" s="2" t="s">
        <v>144</v>
      </c>
      <c r="C20" s="2" t="s">
        <v>202</v>
      </c>
      <c r="D20" s="2" t="s">
        <v>15</v>
      </c>
      <c r="E20" s="2">
        <v>77</v>
      </c>
      <c r="F20" s="7" t="str">
        <f t="shared" si="0"/>
        <v>Локальный</v>
      </c>
      <c r="G20" s="2"/>
    </row>
    <row r="21" spans="1:7">
      <c r="A21" s="2" t="s">
        <v>88</v>
      </c>
      <c r="B21" s="2" t="s">
        <v>89</v>
      </c>
      <c r="C21" s="2" t="s">
        <v>90</v>
      </c>
      <c r="D21" s="2" t="s">
        <v>11</v>
      </c>
      <c r="E21" s="2">
        <v>1</v>
      </c>
      <c r="F21" s="7" t="str">
        <f t="shared" si="0"/>
        <v>Локальный</v>
      </c>
      <c r="G21" s="2"/>
    </row>
    <row r="22" spans="1:7">
      <c r="A22" s="2" t="s">
        <v>295</v>
      </c>
      <c r="B22" s="2" t="s">
        <v>296</v>
      </c>
      <c r="C22" s="2" t="s">
        <v>297</v>
      </c>
      <c r="D22" s="2" t="s">
        <v>289</v>
      </c>
      <c r="E22" s="2">
        <v>54</v>
      </c>
      <c r="F22" s="8" t="str">
        <f t="shared" si="0"/>
        <v>Локальный</v>
      </c>
      <c r="G22" s="2"/>
    </row>
    <row r="23" spans="1:7">
      <c r="A23" s="2" t="s">
        <v>84</v>
      </c>
      <c r="B23" s="2" t="s">
        <v>85</v>
      </c>
      <c r="C23" s="2" t="s">
        <v>86</v>
      </c>
      <c r="D23" s="2" t="s">
        <v>87</v>
      </c>
      <c r="E23" s="2">
        <v>100000</v>
      </c>
      <c r="F23" s="7" t="str">
        <f t="shared" si="0"/>
        <v>Федеральный</v>
      </c>
      <c r="G23" s="2" t="s">
        <v>381</v>
      </c>
    </row>
    <row r="24" spans="1:7">
      <c r="A24" s="3" t="s">
        <v>355</v>
      </c>
      <c r="B24" s="2" t="s">
        <v>91</v>
      </c>
      <c r="C24" s="2" t="s">
        <v>92</v>
      </c>
      <c r="D24" s="2" t="s">
        <v>81</v>
      </c>
      <c r="E24" s="2">
        <v>30</v>
      </c>
      <c r="F24" s="7" t="str">
        <f t="shared" si="0"/>
        <v>Локальный</v>
      </c>
      <c r="G24" s="2"/>
    </row>
    <row r="25" spans="1:7">
      <c r="A25" s="3" t="s">
        <v>356</v>
      </c>
      <c r="B25" s="2" t="s">
        <v>93</v>
      </c>
      <c r="C25" s="2" t="s">
        <v>94</v>
      </c>
      <c r="D25" s="2" t="s">
        <v>68</v>
      </c>
      <c r="E25" s="2">
        <v>5</v>
      </c>
      <c r="F25" s="7" t="str">
        <f t="shared" si="0"/>
        <v>Локальный</v>
      </c>
      <c r="G25" s="2" t="s">
        <v>382</v>
      </c>
    </row>
    <row r="26" spans="1:7">
      <c r="A26" s="2" t="s">
        <v>95</v>
      </c>
      <c r="B26" s="2" t="s">
        <v>29</v>
      </c>
      <c r="C26" s="2" t="s">
        <v>96</v>
      </c>
      <c r="D26" s="2" t="s">
        <v>68</v>
      </c>
      <c r="E26" s="2">
        <v>98</v>
      </c>
      <c r="F26" s="7" t="str">
        <f t="shared" si="0"/>
        <v>Локальный</v>
      </c>
      <c r="G26" s="2" t="s">
        <v>383</v>
      </c>
    </row>
    <row r="27" spans="1:7">
      <c r="A27" s="2" t="s">
        <v>97</v>
      </c>
      <c r="B27" s="2" t="s">
        <v>98</v>
      </c>
      <c r="C27" s="2" t="s">
        <v>99</v>
      </c>
      <c r="D27" s="2" t="s">
        <v>68</v>
      </c>
      <c r="E27" s="2">
        <v>30000</v>
      </c>
      <c r="F27" s="7" t="str">
        <f t="shared" si="0"/>
        <v>Федеральный</v>
      </c>
      <c r="G27" s="2" t="s">
        <v>384</v>
      </c>
    </row>
    <row r="28" spans="1:7">
      <c r="A28" s="2" t="s">
        <v>12</v>
      </c>
      <c r="B28" s="2" t="s">
        <v>13</v>
      </c>
      <c r="C28" s="2" t="s">
        <v>14</v>
      </c>
      <c r="D28" s="2" t="s">
        <v>15</v>
      </c>
      <c r="E28" s="2">
        <v>113</v>
      </c>
      <c r="F28" s="7" t="str">
        <f t="shared" si="0"/>
        <v>Локальный</v>
      </c>
      <c r="G28" s="2" t="s">
        <v>385</v>
      </c>
    </row>
    <row r="29" spans="1:7">
      <c r="A29" s="2" t="s">
        <v>100</v>
      </c>
      <c r="B29" s="2" t="s">
        <v>101</v>
      </c>
      <c r="C29" s="2" t="s">
        <v>102</v>
      </c>
      <c r="D29" s="2" t="s">
        <v>8</v>
      </c>
      <c r="E29" s="2">
        <v>170</v>
      </c>
      <c r="F29" s="7" t="str">
        <f t="shared" si="0"/>
        <v>Локальный</v>
      </c>
      <c r="G29" s="2" t="s">
        <v>386</v>
      </c>
    </row>
    <row r="30" spans="1:7">
      <c r="A30" s="2" t="s">
        <v>298</v>
      </c>
      <c r="B30" s="2" t="s">
        <v>29</v>
      </c>
      <c r="C30" s="2" t="s">
        <v>299</v>
      </c>
      <c r="D30" s="2" t="s">
        <v>109</v>
      </c>
      <c r="E30" s="2">
        <v>208</v>
      </c>
      <c r="F30" s="8" t="str">
        <f t="shared" si="0"/>
        <v>Региональный</v>
      </c>
      <c r="G30" s="2" t="s">
        <v>387</v>
      </c>
    </row>
    <row r="31" spans="1:7">
      <c r="A31" s="2" t="s">
        <v>103</v>
      </c>
      <c r="B31" s="2" t="s">
        <v>6</v>
      </c>
      <c r="C31" s="2" t="s">
        <v>104</v>
      </c>
      <c r="D31" s="2" t="s">
        <v>73</v>
      </c>
      <c r="E31" s="2">
        <v>25000</v>
      </c>
      <c r="F31" s="7" t="str">
        <f t="shared" si="0"/>
        <v>Федеральный</v>
      </c>
      <c r="G31" s="2" t="s">
        <v>388</v>
      </c>
    </row>
    <row r="32" spans="1:7">
      <c r="A32" s="2" t="s">
        <v>136</v>
      </c>
      <c r="B32" s="2" t="s">
        <v>29</v>
      </c>
      <c r="C32" s="2" t="s">
        <v>137</v>
      </c>
      <c r="D32" s="2" t="s">
        <v>119</v>
      </c>
      <c r="E32" s="2">
        <v>77</v>
      </c>
      <c r="F32" s="7" t="str">
        <f t="shared" si="0"/>
        <v>Локальный</v>
      </c>
      <c r="G32" s="2" t="s">
        <v>389</v>
      </c>
    </row>
    <row r="33" spans="1:7">
      <c r="A33" s="2" t="s">
        <v>105</v>
      </c>
      <c r="B33" s="2" t="s">
        <v>6</v>
      </c>
      <c r="C33" s="2" t="s">
        <v>106</v>
      </c>
      <c r="D33" s="2" t="s">
        <v>87</v>
      </c>
      <c r="E33" s="2">
        <v>100000</v>
      </c>
      <c r="F33" s="7" t="str">
        <f t="shared" si="0"/>
        <v>Федеральный</v>
      </c>
      <c r="G33" s="2"/>
    </row>
    <row r="34" spans="1:7">
      <c r="A34" s="2" t="s">
        <v>16</v>
      </c>
      <c r="B34" s="2" t="s">
        <v>6</v>
      </c>
      <c r="C34" s="2" t="s">
        <v>17</v>
      </c>
      <c r="D34" s="2" t="s">
        <v>11</v>
      </c>
      <c r="E34" s="2">
        <v>3000</v>
      </c>
      <c r="F34" s="7" t="str">
        <f t="shared" ref="F34:F65" si="1">IF(E34&lt;=200, "Локальный", IF(E34&lt;=1000, "Региональный", IF(E34&gt;1000, "Федеральный", "")))</f>
        <v>Федеральный</v>
      </c>
      <c r="G34" s="2" t="s">
        <v>473</v>
      </c>
    </row>
    <row r="35" spans="1:7">
      <c r="A35" s="2" t="s">
        <v>337</v>
      </c>
      <c r="B35" s="2" t="s">
        <v>29</v>
      </c>
      <c r="C35" s="2" t="s">
        <v>338</v>
      </c>
      <c r="D35" s="2" t="s">
        <v>68</v>
      </c>
      <c r="E35" s="2">
        <v>1</v>
      </c>
      <c r="F35" s="8" t="str">
        <f t="shared" si="1"/>
        <v>Локальный</v>
      </c>
      <c r="G35" s="2" t="s">
        <v>390</v>
      </c>
    </row>
    <row r="36" spans="1:7">
      <c r="A36" s="2" t="s">
        <v>300</v>
      </c>
      <c r="B36" s="2" t="s">
        <v>32</v>
      </c>
      <c r="C36" s="2" t="s">
        <v>301</v>
      </c>
      <c r="D36" s="2" t="s">
        <v>26</v>
      </c>
      <c r="E36" s="2">
        <v>545</v>
      </c>
      <c r="F36" s="8" t="str">
        <f t="shared" si="1"/>
        <v>Региональный</v>
      </c>
      <c r="G36" s="2"/>
    </row>
    <row r="37" spans="1:7">
      <c r="A37" s="2" t="s">
        <v>110</v>
      </c>
      <c r="B37" s="2" t="s">
        <v>111</v>
      </c>
      <c r="C37" s="2" t="s">
        <v>112</v>
      </c>
      <c r="D37" s="2" t="s">
        <v>15</v>
      </c>
      <c r="E37" s="2">
        <v>115</v>
      </c>
      <c r="F37" s="7" t="str">
        <f t="shared" si="1"/>
        <v>Локальный</v>
      </c>
      <c r="G37" s="2"/>
    </row>
    <row r="38" spans="1:7">
      <c r="A38" s="2" t="s">
        <v>240</v>
      </c>
      <c r="B38" s="2" t="s">
        <v>6</v>
      </c>
      <c r="C38" s="2" t="s">
        <v>241</v>
      </c>
      <c r="D38" s="2" t="s">
        <v>15</v>
      </c>
      <c r="E38" s="2">
        <v>170</v>
      </c>
      <c r="F38" s="7" t="str">
        <f t="shared" si="1"/>
        <v>Локальный</v>
      </c>
      <c r="G38" s="2" t="s">
        <v>391</v>
      </c>
    </row>
    <row r="39" spans="1:7">
      <c r="A39" s="2" t="s">
        <v>113</v>
      </c>
      <c r="B39" s="2" t="s">
        <v>114</v>
      </c>
      <c r="C39" s="2" t="s">
        <v>115</v>
      </c>
      <c r="D39" s="2" t="s">
        <v>15</v>
      </c>
      <c r="E39" s="2">
        <v>32</v>
      </c>
      <c r="F39" s="7" t="str">
        <f t="shared" si="1"/>
        <v>Локальный</v>
      </c>
      <c r="G39" s="2" t="s">
        <v>392</v>
      </c>
    </row>
    <row r="40" spans="1:7">
      <c r="A40" s="2" t="s">
        <v>107</v>
      </c>
      <c r="B40" s="2" t="s">
        <v>6</v>
      </c>
      <c r="C40" s="2" t="s">
        <v>108</v>
      </c>
      <c r="D40" s="2" t="s">
        <v>109</v>
      </c>
      <c r="E40" s="2">
        <v>120</v>
      </c>
      <c r="F40" s="7" t="str">
        <f t="shared" si="1"/>
        <v>Локальный</v>
      </c>
      <c r="G40" s="2" t="s">
        <v>393</v>
      </c>
    </row>
    <row r="41" spans="1:7">
      <c r="A41" s="2" t="s">
        <v>302</v>
      </c>
      <c r="B41" s="2" t="s">
        <v>29</v>
      </c>
      <c r="C41" s="2" t="s">
        <v>116</v>
      </c>
      <c r="D41" s="2" t="s">
        <v>68</v>
      </c>
      <c r="E41" s="2">
        <v>2000</v>
      </c>
      <c r="F41" s="8" t="str">
        <f t="shared" si="1"/>
        <v>Федеральный</v>
      </c>
      <c r="G41" s="2" t="s">
        <v>394</v>
      </c>
    </row>
    <row r="42" spans="1:7">
      <c r="A42" s="2" t="s">
        <v>117</v>
      </c>
      <c r="B42" s="2" t="s">
        <v>6</v>
      </c>
      <c r="C42" s="2" t="s">
        <v>118</v>
      </c>
      <c r="D42" s="2" t="s">
        <v>119</v>
      </c>
      <c r="E42" s="2">
        <v>42</v>
      </c>
      <c r="F42" s="7" t="str">
        <f t="shared" si="1"/>
        <v>Локальный</v>
      </c>
      <c r="G42" s="2" t="s">
        <v>395</v>
      </c>
    </row>
    <row r="43" spans="1:7">
      <c r="A43" s="2" t="s">
        <v>120</v>
      </c>
      <c r="B43" s="2" t="s">
        <v>121</v>
      </c>
      <c r="C43" s="2" t="s">
        <v>122</v>
      </c>
      <c r="D43" s="2" t="s">
        <v>26</v>
      </c>
      <c r="E43" s="2">
        <v>169</v>
      </c>
      <c r="F43" s="7" t="str">
        <f t="shared" si="1"/>
        <v>Локальный</v>
      </c>
      <c r="G43" s="2" t="s">
        <v>396</v>
      </c>
    </row>
    <row r="44" spans="1:7">
      <c r="A44" s="2" t="s">
        <v>123</v>
      </c>
      <c r="B44" s="2" t="s">
        <v>124</v>
      </c>
      <c r="C44" s="2" t="s">
        <v>125</v>
      </c>
      <c r="D44" s="2" t="s">
        <v>15</v>
      </c>
      <c r="E44" s="2">
        <v>158</v>
      </c>
      <c r="F44" s="7" t="str">
        <f t="shared" si="1"/>
        <v>Локальный</v>
      </c>
      <c r="G44" s="2" t="s">
        <v>397</v>
      </c>
    </row>
    <row r="45" spans="1:7">
      <c r="A45" s="2" t="s">
        <v>20</v>
      </c>
      <c r="B45" s="2" t="s">
        <v>6</v>
      </c>
      <c r="C45" s="2" t="s">
        <v>19</v>
      </c>
      <c r="D45" s="2" t="s">
        <v>11</v>
      </c>
      <c r="E45" s="2">
        <v>231</v>
      </c>
      <c r="F45" s="7" t="str">
        <f t="shared" si="1"/>
        <v>Региональный</v>
      </c>
      <c r="G45" s="2" t="s">
        <v>398</v>
      </c>
    </row>
    <row r="46" spans="1:7">
      <c r="A46" s="2" t="s">
        <v>20</v>
      </c>
      <c r="B46" s="2" t="s">
        <v>29</v>
      </c>
      <c r="C46" s="2" t="s">
        <v>19</v>
      </c>
      <c r="D46" s="2" t="s">
        <v>11</v>
      </c>
      <c r="E46" s="2">
        <v>228</v>
      </c>
      <c r="F46" s="8" t="str">
        <f t="shared" si="1"/>
        <v>Региональный</v>
      </c>
      <c r="G46" s="2" t="s">
        <v>398</v>
      </c>
    </row>
    <row r="47" spans="1:7">
      <c r="A47" s="2" t="s">
        <v>18</v>
      </c>
      <c r="B47" s="2" t="s">
        <v>6</v>
      </c>
      <c r="C47" s="2" t="s">
        <v>19</v>
      </c>
      <c r="D47" s="2" t="s">
        <v>8</v>
      </c>
      <c r="E47" s="2">
        <v>230</v>
      </c>
      <c r="F47" s="7" t="str">
        <f t="shared" si="1"/>
        <v>Региональный</v>
      </c>
      <c r="G47" s="2" t="s">
        <v>398</v>
      </c>
    </row>
    <row r="48" spans="1:7">
      <c r="A48" s="2" t="s">
        <v>246</v>
      </c>
      <c r="B48" s="2" t="s">
        <v>247</v>
      </c>
      <c r="C48" s="2" t="s">
        <v>248</v>
      </c>
      <c r="D48" s="2" t="s">
        <v>26</v>
      </c>
      <c r="E48" s="2">
        <v>180</v>
      </c>
      <c r="F48" s="7" t="str">
        <f t="shared" si="1"/>
        <v>Локальный</v>
      </c>
      <c r="G48" s="2" t="s">
        <v>399</v>
      </c>
    </row>
    <row r="49" spans="1:7">
      <c r="A49" s="2" t="s">
        <v>303</v>
      </c>
      <c r="B49" s="2" t="s">
        <v>13</v>
      </c>
      <c r="C49" s="2" t="s">
        <v>304</v>
      </c>
      <c r="D49" s="2" t="s">
        <v>73</v>
      </c>
      <c r="E49" s="2">
        <v>2500</v>
      </c>
      <c r="F49" s="8" t="str">
        <f t="shared" si="1"/>
        <v>Федеральный</v>
      </c>
      <c r="G49" s="2" t="s">
        <v>400</v>
      </c>
    </row>
    <row r="50" spans="1:7">
      <c r="A50" s="2" t="s">
        <v>129</v>
      </c>
      <c r="B50" s="2" t="s">
        <v>130</v>
      </c>
      <c r="C50" s="2" t="s">
        <v>131</v>
      </c>
      <c r="D50" s="2" t="s">
        <v>15</v>
      </c>
      <c r="E50" s="2">
        <v>74</v>
      </c>
      <c r="F50" s="7" t="str">
        <f t="shared" si="1"/>
        <v>Локальный</v>
      </c>
      <c r="G50" s="2" t="s">
        <v>401</v>
      </c>
    </row>
    <row r="51" spans="1:7">
      <c r="A51" s="2" t="s">
        <v>126</v>
      </c>
      <c r="B51" s="2" t="s">
        <v>6</v>
      </c>
      <c r="C51" s="2" t="s">
        <v>127</v>
      </c>
      <c r="D51" s="2" t="s">
        <v>128</v>
      </c>
      <c r="E51" s="2">
        <v>11</v>
      </c>
      <c r="F51" s="7" t="str">
        <f t="shared" si="1"/>
        <v>Локальный</v>
      </c>
      <c r="G51" s="2" t="s">
        <v>402</v>
      </c>
    </row>
    <row r="52" spans="1:7">
      <c r="A52" s="2" t="s">
        <v>132</v>
      </c>
      <c r="B52" s="2" t="s">
        <v>29</v>
      </c>
      <c r="C52" s="2" t="s">
        <v>133</v>
      </c>
      <c r="D52" s="2" t="s">
        <v>68</v>
      </c>
      <c r="E52" s="2">
        <v>1000</v>
      </c>
      <c r="F52" s="7" t="str">
        <f t="shared" si="1"/>
        <v>Региональный</v>
      </c>
      <c r="G52" s="2" t="s">
        <v>403</v>
      </c>
    </row>
    <row r="53" spans="1:7">
      <c r="A53" s="2" t="s">
        <v>134</v>
      </c>
      <c r="B53" s="2" t="s">
        <v>29</v>
      </c>
      <c r="C53" s="2" t="s">
        <v>135</v>
      </c>
      <c r="D53" s="2" t="s">
        <v>119</v>
      </c>
      <c r="E53" s="2">
        <v>195</v>
      </c>
      <c r="F53" s="8" t="str">
        <f t="shared" si="1"/>
        <v>Локальный</v>
      </c>
      <c r="G53" s="2" t="s">
        <v>404</v>
      </c>
    </row>
    <row r="54" spans="1:7">
      <c r="A54" s="2" t="s">
        <v>21</v>
      </c>
      <c r="B54" s="2" t="s">
        <v>22</v>
      </c>
      <c r="C54" s="2" t="s">
        <v>23</v>
      </c>
      <c r="D54" s="2" t="s">
        <v>24</v>
      </c>
      <c r="E54" s="2">
        <v>126</v>
      </c>
      <c r="F54" s="7" t="str">
        <f t="shared" si="1"/>
        <v>Локальный</v>
      </c>
      <c r="G54" s="2" t="s">
        <v>405</v>
      </c>
    </row>
    <row r="55" spans="1:7">
      <c r="A55" s="2" t="s">
        <v>242</v>
      </c>
      <c r="B55" s="2" t="s">
        <v>6</v>
      </c>
      <c r="C55" s="2" t="s">
        <v>25</v>
      </c>
      <c r="D55" s="2" t="s">
        <v>26</v>
      </c>
      <c r="E55" s="2">
        <v>1300</v>
      </c>
      <c r="F55" s="7" t="str">
        <f t="shared" si="1"/>
        <v>Федеральный</v>
      </c>
      <c r="G55" s="2" t="s">
        <v>406</v>
      </c>
    </row>
    <row r="56" spans="1:7">
      <c r="A56" s="3" t="s">
        <v>357</v>
      </c>
      <c r="B56" s="2" t="s">
        <v>6</v>
      </c>
      <c r="C56" s="2" t="s">
        <v>279</v>
      </c>
      <c r="D56" s="2" t="s">
        <v>15</v>
      </c>
      <c r="E56" s="2">
        <v>2200</v>
      </c>
      <c r="F56" s="8" t="str">
        <f t="shared" si="1"/>
        <v>Федеральный</v>
      </c>
      <c r="G56" s="2" t="s">
        <v>407</v>
      </c>
    </row>
    <row r="57" spans="1:7">
      <c r="A57" s="3" t="s">
        <v>358</v>
      </c>
      <c r="B57" s="2" t="s">
        <v>6</v>
      </c>
      <c r="C57" s="2" t="s">
        <v>27</v>
      </c>
      <c r="D57" s="2" t="s">
        <v>8</v>
      </c>
      <c r="E57" s="2">
        <v>2200</v>
      </c>
      <c r="F57" s="7" t="str">
        <f t="shared" si="1"/>
        <v>Федеральный</v>
      </c>
      <c r="G57" s="2" t="s">
        <v>408</v>
      </c>
    </row>
    <row r="58" spans="1:7">
      <c r="A58" s="2" t="s">
        <v>351</v>
      </c>
      <c r="B58" s="2" t="s">
        <v>29</v>
      </c>
      <c r="C58" s="2" t="s">
        <v>352</v>
      </c>
      <c r="D58" s="2" t="s">
        <v>15</v>
      </c>
      <c r="E58" s="2">
        <v>12</v>
      </c>
      <c r="F58" s="8" t="str">
        <f t="shared" si="1"/>
        <v>Локальный</v>
      </c>
      <c r="G58" s="2"/>
    </row>
    <row r="59" spans="1:7">
      <c r="A59" s="2" t="s">
        <v>305</v>
      </c>
      <c r="B59" s="2" t="s">
        <v>29</v>
      </c>
      <c r="C59" s="2" t="s">
        <v>306</v>
      </c>
      <c r="D59" s="2" t="s">
        <v>307</v>
      </c>
      <c r="E59" s="2">
        <v>36</v>
      </c>
      <c r="F59" s="8" t="str">
        <f t="shared" si="1"/>
        <v>Локальный</v>
      </c>
      <c r="G59" s="2" t="s">
        <v>409</v>
      </c>
    </row>
    <row r="60" spans="1:7">
      <c r="A60" s="2" t="s">
        <v>138</v>
      </c>
      <c r="B60" s="2" t="s">
        <v>139</v>
      </c>
      <c r="C60" s="2" t="s">
        <v>112</v>
      </c>
      <c r="D60" s="2" t="s">
        <v>8</v>
      </c>
      <c r="E60" s="2">
        <v>1</v>
      </c>
      <c r="F60" s="7" t="str">
        <f t="shared" si="1"/>
        <v>Локальный</v>
      </c>
      <c r="G60" s="2"/>
    </row>
    <row r="61" spans="1:7">
      <c r="A61" s="2" t="s">
        <v>140</v>
      </c>
      <c r="B61" s="2" t="s">
        <v>111</v>
      </c>
      <c r="C61" s="2" t="s">
        <v>141</v>
      </c>
      <c r="D61" s="2" t="s">
        <v>15</v>
      </c>
      <c r="E61" s="2">
        <v>350</v>
      </c>
      <c r="F61" s="7" t="str">
        <f t="shared" si="1"/>
        <v>Региональный</v>
      </c>
      <c r="G61" s="2" t="s">
        <v>410</v>
      </c>
    </row>
    <row r="62" spans="1:7">
      <c r="A62" s="2" t="s">
        <v>142</v>
      </c>
      <c r="B62" s="2" t="s">
        <v>111</v>
      </c>
      <c r="C62" s="2" t="s">
        <v>141</v>
      </c>
      <c r="D62" s="2" t="s">
        <v>26</v>
      </c>
      <c r="E62" s="2">
        <v>330</v>
      </c>
      <c r="F62" s="7" t="str">
        <f t="shared" si="1"/>
        <v>Региональный</v>
      </c>
      <c r="G62" s="2" t="s">
        <v>410</v>
      </c>
    </row>
    <row r="63" spans="1:7">
      <c r="A63" s="2" t="s">
        <v>146</v>
      </c>
      <c r="B63" s="2" t="s">
        <v>29</v>
      </c>
      <c r="C63" s="2" t="s">
        <v>147</v>
      </c>
      <c r="D63" s="2" t="s">
        <v>148</v>
      </c>
      <c r="E63" s="2">
        <v>750</v>
      </c>
      <c r="F63" s="7" t="str">
        <f t="shared" si="1"/>
        <v>Региональный</v>
      </c>
      <c r="G63" s="2" t="s">
        <v>411</v>
      </c>
    </row>
    <row r="64" spans="1:7">
      <c r="A64" s="2" t="s">
        <v>143</v>
      </c>
      <c r="B64" s="2" t="s">
        <v>144</v>
      </c>
      <c r="C64" s="2" t="s">
        <v>145</v>
      </c>
      <c r="D64" s="2" t="s">
        <v>11</v>
      </c>
      <c r="E64" s="2">
        <v>8</v>
      </c>
      <c r="F64" s="7" t="str">
        <f t="shared" si="1"/>
        <v>Локальный</v>
      </c>
      <c r="G64" s="2" t="s">
        <v>412</v>
      </c>
    </row>
    <row r="65" spans="1:7">
      <c r="A65" s="2" t="s">
        <v>280</v>
      </c>
      <c r="B65" s="2" t="s">
        <v>29</v>
      </c>
      <c r="C65" s="2" t="s">
        <v>30</v>
      </c>
      <c r="D65" s="2" t="s">
        <v>24</v>
      </c>
      <c r="E65" s="2">
        <v>800</v>
      </c>
      <c r="F65" s="8" t="str">
        <f t="shared" si="1"/>
        <v>Региональный</v>
      </c>
      <c r="G65" s="2" t="s">
        <v>413</v>
      </c>
    </row>
    <row r="66" spans="1:7">
      <c r="A66" s="2" t="s">
        <v>28</v>
      </c>
      <c r="B66" s="2" t="s">
        <v>29</v>
      </c>
      <c r="C66" s="2" t="s">
        <v>30</v>
      </c>
      <c r="D66" s="2" t="s">
        <v>24</v>
      </c>
      <c r="E66" s="2">
        <v>800</v>
      </c>
      <c r="F66" s="7" t="str">
        <f t="shared" ref="F66:F97" si="2">IF(E66&lt;=200, "Локальный", IF(E66&lt;=1000, "Региональный", IF(E66&gt;1000, "Федеральный", "")))</f>
        <v>Региональный</v>
      </c>
      <c r="G66" s="2" t="s">
        <v>413</v>
      </c>
    </row>
    <row r="67" spans="1:7">
      <c r="A67" s="2" t="s">
        <v>151</v>
      </c>
      <c r="B67" s="2" t="s">
        <v>6</v>
      </c>
      <c r="C67" s="2" t="s">
        <v>152</v>
      </c>
      <c r="D67" s="2" t="s">
        <v>148</v>
      </c>
      <c r="E67" s="2">
        <v>57</v>
      </c>
      <c r="F67" s="7" t="str">
        <f t="shared" si="2"/>
        <v>Локальный</v>
      </c>
      <c r="G67" s="2" t="s">
        <v>414</v>
      </c>
    </row>
    <row r="68" spans="1:7">
      <c r="A68" s="2" t="s">
        <v>308</v>
      </c>
      <c r="B68" s="2" t="s">
        <v>29</v>
      </c>
      <c r="C68" s="2" t="s">
        <v>309</v>
      </c>
      <c r="D68" s="2" t="s">
        <v>73</v>
      </c>
      <c r="E68" s="2">
        <v>1</v>
      </c>
      <c r="F68" s="8" t="str">
        <f t="shared" si="2"/>
        <v>Локальный</v>
      </c>
      <c r="G68" s="2" t="s">
        <v>415</v>
      </c>
    </row>
    <row r="69" spans="1:7">
      <c r="A69" s="2" t="s">
        <v>153</v>
      </c>
      <c r="B69" s="2" t="s">
        <v>154</v>
      </c>
      <c r="C69" s="2" t="s">
        <v>155</v>
      </c>
      <c r="D69" s="2" t="s">
        <v>11</v>
      </c>
      <c r="E69" s="2">
        <v>10</v>
      </c>
      <c r="F69" s="7" t="str">
        <f t="shared" si="2"/>
        <v>Локальный</v>
      </c>
      <c r="G69" s="2" t="s">
        <v>416</v>
      </c>
    </row>
    <row r="70" spans="1:7">
      <c r="A70" s="2" t="s">
        <v>156</v>
      </c>
      <c r="B70" s="2" t="s">
        <v>6</v>
      </c>
      <c r="C70" s="2" t="s">
        <v>157</v>
      </c>
      <c r="D70" s="2" t="s">
        <v>73</v>
      </c>
      <c r="E70" s="2">
        <v>1</v>
      </c>
      <c r="F70" s="7" t="str">
        <f t="shared" si="2"/>
        <v>Локальный</v>
      </c>
      <c r="G70" s="2" t="s">
        <v>417</v>
      </c>
    </row>
    <row r="71" spans="1:7">
      <c r="A71" s="2" t="s">
        <v>158</v>
      </c>
      <c r="B71" s="2" t="s">
        <v>159</v>
      </c>
      <c r="C71" s="2" t="s">
        <v>160</v>
      </c>
      <c r="D71" s="2" t="s">
        <v>15</v>
      </c>
      <c r="E71" s="2">
        <v>10</v>
      </c>
      <c r="F71" s="7" t="str">
        <f t="shared" si="2"/>
        <v>Локальный</v>
      </c>
      <c r="G71" s="2" t="s">
        <v>418</v>
      </c>
    </row>
    <row r="72" spans="1:7">
      <c r="A72" s="2" t="s">
        <v>163</v>
      </c>
      <c r="B72" s="2" t="s">
        <v>164</v>
      </c>
      <c r="C72" s="2" t="s">
        <v>165</v>
      </c>
      <c r="D72" s="2" t="s">
        <v>26</v>
      </c>
      <c r="E72" s="2">
        <v>363</v>
      </c>
      <c r="F72" s="7" t="str">
        <f t="shared" si="2"/>
        <v>Региональный</v>
      </c>
      <c r="G72" s="2" t="s">
        <v>419</v>
      </c>
    </row>
    <row r="73" spans="1:7">
      <c r="A73" s="2" t="s">
        <v>226</v>
      </c>
      <c r="B73" s="2" t="s">
        <v>227</v>
      </c>
      <c r="C73" s="2" t="s">
        <v>112</v>
      </c>
      <c r="D73" s="2" t="s">
        <v>73</v>
      </c>
      <c r="E73" s="2">
        <v>1</v>
      </c>
      <c r="F73" s="7" t="str">
        <f t="shared" si="2"/>
        <v>Локальный</v>
      </c>
      <c r="G73" s="2"/>
    </row>
    <row r="74" spans="1:7">
      <c r="A74" s="2" t="s">
        <v>168</v>
      </c>
      <c r="B74" s="2" t="s">
        <v>130</v>
      </c>
      <c r="C74" s="2" t="s">
        <v>169</v>
      </c>
      <c r="D74" s="2" t="s">
        <v>26</v>
      </c>
      <c r="E74" s="2">
        <v>180</v>
      </c>
      <c r="F74" s="7" t="str">
        <f t="shared" si="2"/>
        <v>Локальный</v>
      </c>
      <c r="G74" s="2"/>
    </row>
    <row r="75" spans="1:7">
      <c r="A75" s="2" t="s">
        <v>311</v>
      </c>
      <c r="B75" s="2" t="s">
        <v>29</v>
      </c>
      <c r="C75" s="2" t="s">
        <v>312</v>
      </c>
      <c r="D75" s="2" t="s">
        <v>81</v>
      </c>
      <c r="E75" s="2">
        <v>26</v>
      </c>
      <c r="F75" s="8" t="str">
        <f t="shared" si="2"/>
        <v>Локальный</v>
      </c>
      <c r="G75" s="2" t="s">
        <v>420</v>
      </c>
    </row>
    <row r="76" spans="1:7">
      <c r="A76" s="2" t="s">
        <v>243</v>
      </c>
      <c r="B76" s="2" t="s">
        <v>46</v>
      </c>
      <c r="C76" s="2" t="s">
        <v>52</v>
      </c>
      <c r="D76" s="2" t="s">
        <v>15</v>
      </c>
      <c r="E76" s="2">
        <v>500</v>
      </c>
      <c r="F76" s="7" t="str">
        <f t="shared" si="2"/>
        <v>Региональный</v>
      </c>
      <c r="G76" s="2" t="s">
        <v>421</v>
      </c>
    </row>
    <row r="77" spans="1:7">
      <c r="A77" s="2" t="s">
        <v>45</v>
      </c>
      <c r="B77" s="2" t="s">
        <v>46</v>
      </c>
      <c r="C77" s="2" t="s">
        <v>47</v>
      </c>
      <c r="D77" s="2" t="s">
        <v>15</v>
      </c>
      <c r="E77" s="2">
        <v>138</v>
      </c>
      <c r="F77" s="7" t="str">
        <f t="shared" si="2"/>
        <v>Локальный</v>
      </c>
      <c r="G77" s="2" t="s">
        <v>421</v>
      </c>
    </row>
    <row r="78" spans="1:7">
      <c r="A78" s="2" t="s">
        <v>170</v>
      </c>
      <c r="B78" s="2" t="s">
        <v>29</v>
      </c>
      <c r="C78" s="2" t="s">
        <v>171</v>
      </c>
      <c r="D78" s="2" t="s">
        <v>81</v>
      </c>
      <c r="E78" s="2">
        <v>15</v>
      </c>
      <c r="F78" s="7" t="str">
        <f t="shared" si="2"/>
        <v>Локальный</v>
      </c>
      <c r="G78" s="2" t="s">
        <v>422</v>
      </c>
    </row>
    <row r="79" spans="1:7">
      <c r="A79" s="2" t="s">
        <v>172</v>
      </c>
      <c r="B79" s="2" t="s">
        <v>173</v>
      </c>
      <c r="C79" s="2" t="s">
        <v>174</v>
      </c>
      <c r="D79" s="2" t="s">
        <v>81</v>
      </c>
      <c r="E79" s="2">
        <v>6</v>
      </c>
      <c r="F79" s="7" t="str">
        <f t="shared" si="2"/>
        <v>Локальный</v>
      </c>
      <c r="G79" s="2"/>
    </row>
    <row r="80" spans="1:7">
      <c r="A80" s="2" t="s">
        <v>166</v>
      </c>
      <c r="B80" s="2" t="s">
        <v>29</v>
      </c>
      <c r="C80" s="2" t="s">
        <v>167</v>
      </c>
      <c r="D80" s="2" t="s">
        <v>68</v>
      </c>
      <c r="E80" s="2">
        <v>1</v>
      </c>
      <c r="F80" s="7" t="str">
        <f t="shared" si="2"/>
        <v>Локальный</v>
      </c>
      <c r="G80" s="2" t="s">
        <v>423</v>
      </c>
    </row>
    <row r="81" spans="1:7">
      <c r="A81" s="2" t="s">
        <v>313</v>
      </c>
      <c r="B81" s="2" t="s">
        <v>314</v>
      </c>
      <c r="C81" s="2" t="s">
        <v>315</v>
      </c>
      <c r="D81" s="2" t="s">
        <v>128</v>
      </c>
      <c r="E81" s="2">
        <v>250</v>
      </c>
      <c r="F81" s="8" t="str">
        <f t="shared" si="2"/>
        <v>Региональный</v>
      </c>
      <c r="G81" s="2"/>
    </row>
    <row r="82" spans="1:7">
      <c r="A82" s="3" t="s">
        <v>359</v>
      </c>
      <c r="B82" s="2" t="s">
        <v>29</v>
      </c>
      <c r="C82" s="2" t="s">
        <v>281</v>
      </c>
      <c r="D82" s="2" t="s">
        <v>11</v>
      </c>
      <c r="E82" s="2">
        <v>265</v>
      </c>
      <c r="F82" s="8" t="str">
        <f t="shared" si="2"/>
        <v>Региональный</v>
      </c>
      <c r="G82" s="2" t="s">
        <v>424</v>
      </c>
    </row>
    <row r="83" spans="1:7">
      <c r="A83" s="2" t="s">
        <v>175</v>
      </c>
      <c r="B83" s="2" t="s">
        <v>176</v>
      </c>
      <c r="C83" s="2" t="s">
        <v>177</v>
      </c>
      <c r="D83" s="2" t="s">
        <v>11</v>
      </c>
      <c r="E83" s="2">
        <v>27</v>
      </c>
      <c r="F83" s="7" t="str">
        <f t="shared" si="2"/>
        <v>Локальный</v>
      </c>
      <c r="G83" s="2" t="s">
        <v>425</v>
      </c>
    </row>
    <row r="84" spans="1:7">
      <c r="A84" s="2" t="s">
        <v>178</v>
      </c>
      <c r="B84" s="2" t="s">
        <v>179</v>
      </c>
      <c r="C84" s="2" t="s">
        <v>180</v>
      </c>
      <c r="D84" s="2" t="s">
        <v>26</v>
      </c>
      <c r="E84" s="2">
        <v>20</v>
      </c>
      <c r="F84" s="7" t="str">
        <f t="shared" si="2"/>
        <v>Локальный</v>
      </c>
      <c r="G84" s="2" t="s">
        <v>426</v>
      </c>
    </row>
    <row r="85" spans="1:7">
      <c r="A85" s="2" t="s">
        <v>228</v>
      </c>
      <c r="B85" s="2" t="s">
        <v>6</v>
      </c>
      <c r="C85" s="2" t="s">
        <v>229</v>
      </c>
      <c r="D85" s="2" t="s">
        <v>73</v>
      </c>
      <c r="E85" s="2">
        <v>3</v>
      </c>
      <c r="F85" s="7" t="str">
        <f t="shared" si="2"/>
        <v>Локальный</v>
      </c>
      <c r="G85" s="2" t="s">
        <v>427</v>
      </c>
    </row>
    <row r="86" spans="1:7">
      <c r="A86" s="3" t="s">
        <v>360</v>
      </c>
      <c r="B86" s="2" t="s">
        <v>32</v>
      </c>
      <c r="C86" s="2" t="s">
        <v>33</v>
      </c>
      <c r="D86" s="2" t="s">
        <v>8</v>
      </c>
      <c r="E86" s="2">
        <v>30000</v>
      </c>
      <c r="F86" s="7" t="str">
        <f t="shared" si="2"/>
        <v>Федеральный</v>
      </c>
      <c r="G86" s="2" t="s">
        <v>428</v>
      </c>
    </row>
    <row r="87" spans="1:7">
      <c r="A87" s="2" t="s">
        <v>31</v>
      </c>
      <c r="B87" s="2" t="s">
        <v>32</v>
      </c>
      <c r="C87" s="2" t="s">
        <v>33</v>
      </c>
      <c r="D87" s="2" t="s">
        <v>8</v>
      </c>
      <c r="E87" s="2">
        <v>20000</v>
      </c>
      <c r="F87" s="8" t="str">
        <f t="shared" si="2"/>
        <v>Федеральный</v>
      </c>
      <c r="G87" s="2" t="s">
        <v>428</v>
      </c>
    </row>
    <row r="88" spans="1:7">
      <c r="A88" s="3" t="s">
        <v>361</v>
      </c>
      <c r="B88" s="2" t="s">
        <v>6</v>
      </c>
      <c r="C88" s="2" t="s">
        <v>181</v>
      </c>
      <c r="D88" s="2" t="s">
        <v>26</v>
      </c>
      <c r="E88" s="2">
        <v>200</v>
      </c>
      <c r="F88" s="7" t="str">
        <f t="shared" si="2"/>
        <v>Локальный</v>
      </c>
      <c r="G88" s="2" t="s">
        <v>429</v>
      </c>
    </row>
    <row r="89" spans="1:7">
      <c r="A89" s="3" t="s">
        <v>362</v>
      </c>
      <c r="B89" s="2" t="s">
        <v>6</v>
      </c>
      <c r="C89" s="2" t="s">
        <v>181</v>
      </c>
      <c r="D89" s="2" t="s">
        <v>26</v>
      </c>
      <c r="E89" s="2">
        <v>200</v>
      </c>
      <c r="F89" s="7" t="str">
        <f t="shared" si="2"/>
        <v>Локальный</v>
      </c>
      <c r="G89" s="2" t="s">
        <v>430</v>
      </c>
    </row>
    <row r="90" spans="1:7">
      <c r="A90" s="3" t="s">
        <v>363</v>
      </c>
      <c r="B90" s="2" t="s">
        <v>182</v>
      </c>
      <c r="C90" s="2" t="s">
        <v>183</v>
      </c>
      <c r="D90" s="2" t="s">
        <v>26</v>
      </c>
      <c r="E90" s="2">
        <v>100</v>
      </c>
      <c r="F90" s="7" t="str">
        <f t="shared" si="2"/>
        <v>Локальный</v>
      </c>
      <c r="G90" s="2" t="s">
        <v>431</v>
      </c>
    </row>
    <row r="91" spans="1:7">
      <c r="A91" s="2" t="s">
        <v>184</v>
      </c>
      <c r="B91" s="2" t="s">
        <v>182</v>
      </c>
      <c r="C91" s="2" t="s">
        <v>185</v>
      </c>
      <c r="D91" s="2" t="s">
        <v>15</v>
      </c>
      <c r="E91" s="2">
        <v>100</v>
      </c>
      <c r="F91" s="7" t="str">
        <f t="shared" si="2"/>
        <v>Локальный</v>
      </c>
      <c r="G91" s="2" t="s">
        <v>432</v>
      </c>
    </row>
    <row r="92" spans="1:7">
      <c r="A92" s="2" t="s">
        <v>186</v>
      </c>
      <c r="B92" s="2" t="s">
        <v>144</v>
      </c>
      <c r="C92" s="2" t="s">
        <v>169</v>
      </c>
      <c r="D92" s="2" t="s">
        <v>11</v>
      </c>
      <c r="E92" s="2">
        <v>2</v>
      </c>
      <c r="F92" s="7" t="str">
        <f t="shared" si="2"/>
        <v>Локальный</v>
      </c>
      <c r="G92" s="2"/>
    </row>
    <row r="93" spans="1:7">
      <c r="A93" s="2" t="s">
        <v>187</v>
      </c>
      <c r="B93" s="2" t="s">
        <v>188</v>
      </c>
      <c r="C93" s="2" t="s">
        <v>189</v>
      </c>
      <c r="D93" s="2" t="s">
        <v>26</v>
      </c>
      <c r="E93" s="2">
        <v>70</v>
      </c>
      <c r="F93" s="7" t="str">
        <f t="shared" si="2"/>
        <v>Локальный</v>
      </c>
      <c r="G93" s="2"/>
    </row>
    <row r="94" spans="1:7">
      <c r="A94" s="3" t="s">
        <v>364</v>
      </c>
      <c r="B94" s="2" t="s">
        <v>192</v>
      </c>
      <c r="C94" s="2" t="s">
        <v>191</v>
      </c>
      <c r="D94" s="2" t="s">
        <v>11</v>
      </c>
      <c r="E94" s="2">
        <v>140</v>
      </c>
      <c r="F94" s="7" t="str">
        <f t="shared" si="2"/>
        <v>Локальный</v>
      </c>
      <c r="G94" s="2" t="s">
        <v>433</v>
      </c>
    </row>
    <row r="95" spans="1:7">
      <c r="A95" s="2" t="s">
        <v>244</v>
      </c>
      <c r="B95" s="2" t="s">
        <v>6</v>
      </c>
      <c r="C95" s="2" t="s">
        <v>245</v>
      </c>
      <c r="D95" s="2" t="s">
        <v>15</v>
      </c>
      <c r="E95" s="2">
        <v>120</v>
      </c>
      <c r="F95" s="7" t="str">
        <f t="shared" si="2"/>
        <v>Локальный</v>
      </c>
      <c r="G95" s="2" t="s">
        <v>434</v>
      </c>
    </row>
    <row r="96" spans="1:7">
      <c r="A96" s="2" t="s">
        <v>316</v>
      </c>
      <c r="B96" s="2" t="s">
        <v>29</v>
      </c>
      <c r="C96" s="2" t="s">
        <v>317</v>
      </c>
      <c r="D96" s="2" t="s">
        <v>119</v>
      </c>
      <c r="E96" s="2">
        <v>40</v>
      </c>
      <c r="F96" s="8" t="str">
        <f t="shared" si="2"/>
        <v>Локальный</v>
      </c>
      <c r="G96" s="2" t="s">
        <v>435</v>
      </c>
    </row>
    <row r="97" spans="1:7">
      <c r="A97" s="2" t="s">
        <v>193</v>
      </c>
      <c r="B97" s="2" t="s">
        <v>182</v>
      </c>
      <c r="C97" s="2" t="s">
        <v>194</v>
      </c>
      <c r="D97" s="2" t="s">
        <v>26</v>
      </c>
      <c r="E97" s="2">
        <v>60</v>
      </c>
      <c r="F97" s="7" t="str">
        <f t="shared" si="2"/>
        <v>Локальный</v>
      </c>
      <c r="G97" s="2"/>
    </row>
    <row r="98" spans="1:7">
      <c r="A98" s="2" t="s">
        <v>318</v>
      </c>
      <c r="B98" s="2" t="s">
        <v>6</v>
      </c>
      <c r="C98" s="2" t="s">
        <v>319</v>
      </c>
      <c r="D98" s="2" t="s">
        <v>87</v>
      </c>
      <c r="E98" s="2">
        <v>1500</v>
      </c>
      <c r="F98" s="8" t="str">
        <f t="shared" ref="F98:F129" si="3">IF(E98&lt;=200, "Локальный", IF(E98&lt;=1000, "Региональный", IF(E98&gt;1000, "Федеральный", "")))</f>
        <v>Федеральный</v>
      </c>
      <c r="G98" s="2" t="s">
        <v>436</v>
      </c>
    </row>
    <row r="99" spans="1:7">
      <c r="A99" s="2" t="s">
        <v>197</v>
      </c>
      <c r="B99" s="2" t="s">
        <v>195</v>
      </c>
      <c r="C99" s="2" t="s">
        <v>196</v>
      </c>
      <c r="D99" s="2" t="s">
        <v>24</v>
      </c>
      <c r="E99" s="2">
        <v>460</v>
      </c>
      <c r="F99" s="7" t="str">
        <f t="shared" si="3"/>
        <v>Региональный</v>
      </c>
      <c r="G99" s="2" t="s">
        <v>437</v>
      </c>
    </row>
    <row r="100" spans="1:7">
      <c r="A100" s="3" t="s">
        <v>365</v>
      </c>
      <c r="B100" s="2" t="s">
        <v>195</v>
      </c>
      <c r="C100" s="2" t="s">
        <v>196</v>
      </c>
      <c r="D100" s="2" t="s">
        <v>24</v>
      </c>
      <c r="E100" s="2">
        <v>458</v>
      </c>
      <c r="F100" s="7" t="str">
        <f t="shared" si="3"/>
        <v>Региональный</v>
      </c>
      <c r="G100" s="2" t="s">
        <v>438</v>
      </c>
    </row>
    <row r="101" spans="1:7">
      <c r="A101" s="2" t="s">
        <v>198</v>
      </c>
      <c r="B101" s="2" t="s">
        <v>199</v>
      </c>
      <c r="C101" s="2" t="s">
        <v>200</v>
      </c>
      <c r="D101" s="2" t="s">
        <v>11</v>
      </c>
      <c r="E101" s="2">
        <v>126</v>
      </c>
      <c r="F101" s="7" t="str">
        <f t="shared" si="3"/>
        <v>Локальный</v>
      </c>
      <c r="G101" s="2" t="s">
        <v>439</v>
      </c>
    </row>
    <row r="102" spans="1:7">
      <c r="A102" s="2" t="s">
        <v>350</v>
      </c>
      <c r="B102" s="2" t="s">
        <v>29</v>
      </c>
      <c r="C102" s="2" t="s">
        <v>34</v>
      </c>
      <c r="D102" s="2" t="s">
        <v>11</v>
      </c>
      <c r="E102" s="2">
        <v>76</v>
      </c>
      <c r="F102" s="8" t="str">
        <f t="shared" si="3"/>
        <v>Локальный</v>
      </c>
      <c r="G102" s="2" t="s">
        <v>440</v>
      </c>
    </row>
    <row r="103" spans="1:7">
      <c r="A103" s="2" t="s">
        <v>35</v>
      </c>
      <c r="B103" s="2" t="s">
        <v>6</v>
      </c>
      <c r="C103" s="2" t="s">
        <v>36</v>
      </c>
      <c r="D103" s="2" t="s">
        <v>11</v>
      </c>
      <c r="E103" s="2">
        <v>77</v>
      </c>
      <c r="F103" s="7" t="str">
        <f t="shared" si="3"/>
        <v>Локальный</v>
      </c>
      <c r="G103" s="2" t="s">
        <v>440</v>
      </c>
    </row>
    <row r="104" spans="1:7">
      <c r="A104" s="2" t="s">
        <v>320</v>
      </c>
      <c r="B104" s="2" t="s">
        <v>29</v>
      </c>
      <c r="C104" s="2" t="s">
        <v>203</v>
      </c>
      <c r="D104" s="2" t="s">
        <v>24</v>
      </c>
      <c r="E104" s="2">
        <v>250</v>
      </c>
      <c r="F104" s="8" t="str">
        <f t="shared" si="3"/>
        <v>Региональный</v>
      </c>
      <c r="G104" s="2" t="s">
        <v>441</v>
      </c>
    </row>
    <row r="105" spans="1:7">
      <c r="A105" s="2" t="s">
        <v>204</v>
      </c>
      <c r="B105" s="2" t="s">
        <v>205</v>
      </c>
      <c r="C105" s="2" t="s">
        <v>206</v>
      </c>
      <c r="D105" s="2" t="s">
        <v>119</v>
      </c>
      <c r="E105" s="2">
        <v>570</v>
      </c>
      <c r="F105" s="7" t="str">
        <f t="shared" si="3"/>
        <v>Региональный</v>
      </c>
      <c r="G105" s="2" t="s">
        <v>442</v>
      </c>
    </row>
    <row r="106" spans="1:7">
      <c r="A106" s="2" t="s">
        <v>207</v>
      </c>
      <c r="B106" s="2" t="s">
        <v>190</v>
      </c>
      <c r="C106" s="2" t="s">
        <v>208</v>
      </c>
      <c r="D106" s="2" t="s">
        <v>26</v>
      </c>
      <c r="E106" s="2">
        <v>110</v>
      </c>
      <c r="F106" s="8" t="str">
        <f t="shared" si="3"/>
        <v>Локальный</v>
      </c>
      <c r="G106" s="2"/>
    </row>
    <row r="107" spans="1:7">
      <c r="A107" s="3" t="s">
        <v>366</v>
      </c>
      <c r="B107" s="2" t="s">
        <v>29</v>
      </c>
      <c r="C107" s="2" t="s">
        <v>37</v>
      </c>
      <c r="D107" s="2" t="s">
        <v>15</v>
      </c>
      <c r="E107" s="2">
        <v>160</v>
      </c>
      <c r="F107" s="8" t="str">
        <f t="shared" si="3"/>
        <v>Локальный</v>
      </c>
      <c r="G107" s="2" t="s">
        <v>443</v>
      </c>
    </row>
    <row r="108" spans="1:7">
      <c r="A108" s="2" t="s">
        <v>321</v>
      </c>
      <c r="B108" s="2" t="s">
        <v>227</v>
      </c>
      <c r="C108" s="2" t="s">
        <v>322</v>
      </c>
      <c r="D108" s="2" t="s">
        <v>26</v>
      </c>
      <c r="E108" s="2">
        <v>56</v>
      </c>
      <c r="F108" s="8" t="str">
        <f t="shared" si="3"/>
        <v>Локальный</v>
      </c>
      <c r="G108" s="2" t="s">
        <v>444</v>
      </c>
    </row>
    <row r="109" spans="1:7">
      <c r="A109" s="2" t="s">
        <v>323</v>
      </c>
      <c r="B109" s="2" t="s">
        <v>199</v>
      </c>
      <c r="C109" s="2" t="s">
        <v>324</v>
      </c>
      <c r="D109" s="2" t="s">
        <v>81</v>
      </c>
      <c r="E109" s="2">
        <v>572</v>
      </c>
      <c r="F109" s="8" t="str">
        <f t="shared" si="3"/>
        <v>Региональный</v>
      </c>
      <c r="G109" s="2" t="s">
        <v>445</v>
      </c>
    </row>
    <row r="110" spans="1:7">
      <c r="A110" s="2" t="s">
        <v>325</v>
      </c>
      <c r="B110" s="2" t="s">
        <v>29</v>
      </c>
      <c r="C110" s="2" t="s">
        <v>326</v>
      </c>
      <c r="D110" s="2" t="s">
        <v>119</v>
      </c>
      <c r="E110" s="2">
        <v>29</v>
      </c>
      <c r="F110" s="8" t="str">
        <f t="shared" si="3"/>
        <v>Локальный</v>
      </c>
      <c r="G110" s="2" t="s">
        <v>446</v>
      </c>
    </row>
    <row r="111" spans="1:7">
      <c r="A111" s="2" t="s">
        <v>209</v>
      </c>
      <c r="B111" s="2" t="s">
        <v>210</v>
      </c>
      <c r="C111" s="2" t="s">
        <v>211</v>
      </c>
      <c r="D111" s="2" t="s">
        <v>68</v>
      </c>
      <c r="E111" s="2">
        <v>50</v>
      </c>
      <c r="F111" s="7" t="str">
        <f t="shared" si="3"/>
        <v>Локальный</v>
      </c>
      <c r="G111" s="2" t="s">
        <v>447</v>
      </c>
    </row>
    <row r="112" spans="1:7">
      <c r="A112" s="2" t="s">
        <v>327</v>
      </c>
      <c r="B112" s="2" t="s">
        <v>29</v>
      </c>
      <c r="C112" s="2" t="s">
        <v>328</v>
      </c>
      <c r="D112" s="2" t="s">
        <v>109</v>
      </c>
      <c r="E112" s="2">
        <v>42000</v>
      </c>
      <c r="F112" s="8" t="str">
        <f t="shared" si="3"/>
        <v>Федеральный</v>
      </c>
      <c r="G112" s="2" t="s">
        <v>448</v>
      </c>
    </row>
    <row r="113" spans="1:7">
      <c r="A113" s="2" t="s">
        <v>212</v>
      </c>
      <c r="B113" s="2" t="s">
        <v>213</v>
      </c>
      <c r="C113" s="2" t="s">
        <v>214</v>
      </c>
      <c r="D113" s="2" t="s">
        <v>26</v>
      </c>
      <c r="E113" s="2">
        <v>180</v>
      </c>
      <c r="F113" s="7" t="str">
        <f t="shared" si="3"/>
        <v>Локальный</v>
      </c>
      <c r="G113" s="2" t="s">
        <v>449</v>
      </c>
    </row>
    <row r="114" spans="1:7">
      <c r="A114" s="3" t="s">
        <v>367</v>
      </c>
      <c r="B114" s="2" t="s">
        <v>29</v>
      </c>
      <c r="C114" s="2" t="s">
        <v>282</v>
      </c>
      <c r="D114" s="2" t="s">
        <v>26</v>
      </c>
      <c r="E114" s="2">
        <v>3600</v>
      </c>
      <c r="F114" s="8" t="str">
        <f t="shared" si="3"/>
        <v>Федеральный</v>
      </c>
      <c r="G114" s="2" t="s">
        <v>450</v>
      </c>
    </row>
    <row r="115" spans="1:7">
      <c r="A115" s="2" t="s">
        <v>215</v>
      </c>
      <c r="B115" s="2" t="s">
        <v>93</v>
      </c>
      <c r="C115" s="2" t="s">
        <v>216</v>
      </c>
      <c r="D115" s="2" t="s">
        <v>81</v>
      </c>
      <c r="E115" s="2">
        <v>270</v>
      </c>
      <c r="F115" s="7" t="str">
        <f t="shared" si="3"/>
        <v>Региональный</v>
      </c>
      <c r="G115" s="2" t="s">
        <v>451</v>
      </c>
    </row>
    <row r="116" spans="1:7">
      <c r="A116" s="3" t="s">
        <v>368</v>
      </c>
      <c r="B116" s="2" t="s">
        <v>29</v>
      </c>
      <c r="C116" s="2" t="s">
        <v>38</v>
      </c>
      <c r="D116" s="2" t="s">
        <v>26</v>
      </c>
      <c r="E116" s="2">
        <v>60</v>
      </c>
      <c r="F116" s="7" t="str">
        <f t="shared" si="3"/>
        <v>Локальный</v>
      </c>
      <c r="G116" s="2" t="s">
        <v>452</v>
      </c>
    </row>
    <row r="117" spans="1:7">
      <c r="A117" s="2" t="s">
        <v>39</v>
      </c>
      <c r="B117" s="2" t="s">
        <v>29</v>
      </c>
      <c r="C117" s="2" t="s">
        <v>38</v>
      </c>
      <c r="D117" s="2" t="s">
        <v>26</v>
      </c>
      <c r="E117" s="2">
        <v>100</v>
      </c>
      <c r="F117" s="7" t="str">
        <f t="shared" si="3"/>
        <v>Локальный</v>
      </c>
      <c r="G117" s="2" t="s">
        <v>453</v>
      </c>
    </row>
    <row r="118" spans="1:7">
      <c r="A118" s="2" t="s">
        <v>329</v>
      </c>
      <c r="B118" s="2" t="s">
        <v>29</v>
      </c>
      <c r="C118" s="2" t="s">
        <v>330</v>
      </c>
      <c r="D118" s="2" t="s">
        <v>119</v>
      </c>
      <c r="E118" s="2">
        <v>35</v>
      </c>
      <c r="F118" s="8" t="str">
        <f t="shared" si="3"/>
        <v>Локальный</v>
      </c>
      <c r="G118" s="2" t="s">
        <v>454</v>
      </c>
    </row>
    <row r="119" spans="1:7">
      <c r="A119" s="2" t="s">
        <v>217</v>
      </c>
      <c r="B119" s="2" t="s">
        <v>218</v>
      </c>
      <c r="C119" s="2" t="s">
        <v>112</v>
      </c>
      <c r="D119" s="2" t="s">
        <v>15</v>
      </c>
      <c r="E119" s="2">
        <v>5</v>
      </c>
      <c r="F119" s="7" t="str">
        <f t="shared" si="3"/>
        <v>Локальный</v>
      </c>
      <c r="G119" s="2"/>
    </row>
    <row r="120" spans="1:7">
      <c r="A120" s="2" t="s">
        <v>331</v>
      </c>
      <c r="B120" s="2" t="s">
        <v>29</v>
      </c>
      <c r="C120" s="2" t="s">
        <v>332</v>
      </c>
      <c r="D120" s="2" t="s">
        <v>148</v>
      </c>
      <c r="E120" s="2">
        <v>600</v>
      </c>
      <c r="F120" s="8" t="str">
        <f t="shared" si="3"/>
        <v>Региональный</v>
      </c>
      <c r="G120" s="2" t="s">
        <v>455</v>
      </c>
    </row>
    <row r="121" spans="1:7">
      <c r="A121" s="2" t="s">
        <v>219</v>
      </c>
      <c r="B121" s="2" t="s">
        <v>220</v>
      </c>
      <c r="C121" s="2" t="s">
        <v>221</v>
      </c>
      <c r="D121" s="2" t="s">
        <v>15</v>
      </c>
      <c r="E121" s="2">
        <v>30</v>
      </c>
      <c r="F121" s="7" t="str">
        <f t="shared" si="3"/>
        <v>Локальный</v>
      </c>
      <c r="G121" s="2" t="s">
        <v>456</v>
      </c>
    </row>
    <row r="122" spans="1:7">
      <c r="A122" s="2" t="s">
        <v>283</v>
      </c>
      <c r="B122" s="2" t="s">
        <v>6</v>
      </c>
      <c r="C122" s="2" t="s">
        <v>284</v>
      </c>
      <c r="D122" s="2" t="s">
        <v>55</v>
      </c>
      <c r="E122" s="2">
        <v>2000</v>
      </c>
      <c r="F122" s="8" t="str">
        <f t="shared" si="3"/>
        <v>Федеральный</v>
      </c>
      <c r="G122" s="2"/>
    </row>
    <row r="123" spans="1:7">
      <c r="A123" s="2" t="s">
        <v>222</v>
      </c>
      <c r="B123" s="2" t="s">
        <v>223</v>
      </c>
      <c r="C123" s="2" t="s">
        <v>224</v>
      </c>
      <c r="D123" s="2" t="s">
        <v>26</v>
      </c>
      <c r="E123" s="2">
        <v>130</v>
      </c>
      <c r="F123" s="7" t="str">
        <f t="shared" si="3"/>
        <v>Локальный</v>
      </c>
      <c r="G123" s="2" t="s">
        <v>457</v>
      </c>
    </row>
    <row r="124" spans="1:7">
      <c r="A124" s="2" t="s">
        <v>40</v>
      </c>
      <c r="B124" s="2" t="s">
        <v>6</v>
      </c>
      <c r="C124" s="2" t="s">
        <v>41</v>
      </c>
      <c r="D124" s="2" t="s">
        <v>11</v>
      </c>
      <c r="E124" s="2">
        <v>300</v>
      </c>
      <c r="F124" s="7" t="str">
        <f t="shared" si="3"/>
        <v>Региональный</v>
      </c>
      <c r="G124" s="2" t="s">
        <v>458</v>
      </c>
    </row>
    <row r="125" spans="1:7">
      <c r="A125" s="2" t="s">
        <v>42</v>
      </c>
      <c r="B125" s="2" t="s">
        <v>43</v>
      </c>
      <c r="C125" s="2" t="s">
        <v>44</v>
      </c>
      <c r="D125" s="2" t="s">
        <v>24</v>
      </c>
      <c r="E125" s="2">
        <v>2800</v>
      </c>
      <c r="F125" s="7" t="str">
        <f t="shared" si="3"/>
        <v>Федеральный</v>
      </c>
      <c r="G125" s="2" t="s">
        <v>459</v>
      </c>
    </row>
    <row r="126" spans="1:7">
      <c r="A126" s="2" t="s">
        <v>333</v>
      </c>
      <c r="B126" s="2" t="s">
        <v>29</v>
      </c>
      <c r="C126" s="2" t="s">
        <v>225</v>
      </c>
      <c r="D126" s="2" t="s">
        <v>24</v>
      </c>
      <c r="E126" s="2">
        <v>196</v>
      </c>
      <c r="F126" s="8" t="str">
        <f t="shared" si="3"/>
        <v>Локальный</v>
      </c>
      <c r="G126" s="2" t="s">
        <v>460</v>
      </c>
    </row>
    <row r="127" spans="1:7">
      <c r="A127" s="2" t="s">
        <v>334</v>
      </c>
      <c r="B127" s="2" t="s">
        <v>335</v>
      </c>
      <c r="C127" s="2" t="s">
        <v>336</v>
      </c>
      <c r="D127" s="2" t="s">
        <v>15</v>
      </c>
      <c r="E127" s="2">
        <v>5</v>
      </c>
      <c r="F127" s="8" t="str">
        <f t="shared" si="3"/>
        <v>Локальный</v>
      </c>
      <c r="G127" s="2" t="s">
        <v>461</v>
      </c>
    </row>
    <row r="128" spans="1:7">
      <c r="A128" s="2" t="s">
        <v>48</v>
      </c>
      <c r="B128" s="2" t="s">
        <v>49</v>
      </c>
      <c r="C128" s="2" t="s">
        <v>50</v>
      </c>
      <c r="D128" s="2" t="s">
        <v>11</v>
      </c>
      <c r="E128" s="2">
        <v>6</v>
      </c>
      <c r="F128" s="7" t="str">
        <f t="shared" si="3"/>
        <v>Локальный</v>
      </c>
      <c r="G128" s="2" t="s">
        <v>462</v>
      </c>
    </row>
    <row r="129" spans="1:7">
      <c r="A129" s="2" t="s">
        <v>285</v>
      </c>
      <c r="B129" s="2" t="s">
        <v>29</v>
      </c>
      <c r="C129" s="2" t="s">
        <v>286</v>
      </c>
      <c r="D129" s="2" t="s">
        <v>119</v>
      </c>
      <c r="E129" s="2">
        <v>100</v>
      </c>
      <c r="F129" s="8" t="str">
        <f t="shared" si="3"/>
        <v>Локальный</v>
      </c>
      <c r="G129" s="2"/>
    </row>
    <row r="130" spans="1:7">
      <c r="A130" s="2" t="s">
        <v>161</v>
      </c>
      <c r="B130" s="2" t="s">
        <v>159</v>
      </c>
      <c r="C130" s="2" t="s">
        <v>162</v>
      </c>
      <c r="D130" s="2" t="s">
        <v>148</v>
      </c>
      <c r="E130" s="2">
        <v>100</v>
      </c>
      <c r="F130" s="7" t="str">
        <f t="shared" ref="F130:F161" si="4">IF(E130&lt;=200, "Локальный", IF(E130&lt;=1000, "Региональный", IF(E130&gt;1000, "Федеральный", "")))</f>
        <v>Локальный</v>
      </c>
      <c r="G130" s="2" t="s">
        <v>463</v>
      </c>
    </row>
    <row r="131" spans="1:7">
      <c r="A131" s="2" t="s">
        <v>230</v>
      </c>
      <c r="B131" s="2" t="s">
        <v>231</v>
      </c>
      <c r="C131" s="2" t="s">
        <v>232</v>
      </c>
      <c r="D131" s="2" t="s">
        <v>119</v>
      </c>
      <c r="E131" s="2">
        <v>62</v>
      </c>
      <c r="F131" s="7" t="str">
        <f t="shared" si="4"/>
        <v>Локальный</v>
      </c>
      <c r="G131" s="2" t="s">
        <v>464</v>
      </c>
    </row>
    <row r="132" spans="1:7">
      <c r="A132" s="2" t="s">
        <v>339</v>
      </c>
      <c r="B132" s="2" t="s">
        <v>340</v>
      </c>
      <c r="C132" s="2" t="s">
        <v>112</v>
      </c>
      <c r="D132" s="2" t="s">
        <v>26</v>
      </c>
      <c r="E132" s="2">
        <v>13</v>
      </c>
      <c r="F132" s="8" t="str">
        <f t="shared" si="4"/>
        <v>Локальный</v>
      </c>
      <c r="G132" s="2"/>
    </row>
    <row r="133" spans="1:7">
      <c r="A133" s="2" t="s">
        <v>341</v>
      </c>
      <c r="B133" s="2" t="s">
        <v>29</v>
      </c>
      <c r="C133" s="2" t="s">
        <v>342</v>
      </c>
      <c r="D133" s="2" t="s">
        <v>343</v>
      </c>
      <c r="E133" s="2">
        <v>330</v>
      </c>
      <c r="F133" s="8" t="str">
        <f t="shared" si="4"/>
        <v>Региональный</v>
      </c>
      <c r="G133" s="2" t="s">
        <v>465</v>
      </c>
    </row>
    <row r="134" spans="1:7">
      <c r="A134" s="2" t="s">
        <v>51</v>
      </c>
      <c r="B134" s="2" t="s">
        <v>46</v>
      </c>
      <c r="C134" s="2" t="s">
        <v>52</v>
      </c>
      <c r="D134" s="2" t="s">
        <v>24</v>
      </c>
      <c r="E134" s="2">
        <v>310</v>
      </c>
      <c r="F134" s="7" t="str">
        <f t="shared" si="4"/>
        <v>Региональный</v>
      </c>
      <c r="G134" s="2" t="s">
        <v>466</v>
      </c>
    </row>
    <row r="135" spans="1:7">
      <c r="A135" s="2" t="s">
        <v>353</v>
      </c>
      <c r="B135" s="2" t="s">
        <v>6</v>
      </c>
      <c r="C135" s="2" t="s">
        <v>354</v>
      </c>
      <c r="D135" s="2" t="s">
        <v>26</v>
      </c>
      <c r="E135" s="2">
        <v>500</v>
      </c>
      <c r="F135" s="8" t="str">
        <f t="shared" si="4"/>
        <v>Региональный</v>
      </c>
      <c r="G135" s="2" t="s">
        <v>467</v>
      </c>
    </row>
    <row r="136" spans="1:7">
      <c r="A136" s="2" t="s">
        <v>233</v>
      </c>
      <c r="B136" s="2" t="s">
        <v>111</v>
      </c>
      <c r="C136" s="2" t="s">
        <v>234</v>
      </c>
      <c r="D136" s="2" t="s">
        <v>24</v>
      </c>
      <c r="E136" s="2">
        <v>300</v>
      </c>
      <c r="F136" s="7" t="str">
        <f t="shared" si="4"/>
        <v>Региональный</v>
      </c>
      <c r="G136" s="2"/>
    </row>
    <row r="137" spans="1:7">
      <c r="A137" s="2" t="s">
        <v>344</v>
      </c>
      <c r="B137" s="2" t="s">
        <v>205</v>
      </c>
      <c r="C137" s="2" t="s">
        <v>345</v>
      </c>
      <c r="D137" s="2" t="s">
        <v>119</v>
      </c>
      <c r="E137" s="2">
        <v>256</v>
      </c>
      <c r="F137" s="8" t="str">
        <f t="shared" si="4"/>
        <v>Региональный</v>
      </c>
      <c r="G137" s="2" t="s">
        <v>468</v>
      </c>
    </row>
    <row r="138" spans="1:7">
      <c r="A138" s="2" t="s">
        <v>235</v>
      </c>
      <c r="B138" s="2" t="s">
        <v>6</v>
      </c>
      <c r="C138" s="2" t="s">
        <v>236</v>
      </c>
      <c r="D138" s="2" t="s">
        <v>55</v>
      </c>
      <c r="E138" s="2">
        <v>5</v>
      </c>
      <c r="F138" s="7" t="str">
        <f t="shared" si="4"/>
        <v>Локальный</v>
      </c>
      <c r="G138" s="2" t="s">
        <v>469</v>
      </c>
    </row>
    <row r="139" spans="1:7">
      <c r="A139" s="2" t="s">
        <v>346</v>
      </c>
      <c r="B139" s="2" t="s">
        <v>29</v>
      </c>
      <c r="C139" s="2" t="s">
        <v>347</v>
      </c>
      <c r="D139" s="2" t="s">
        <v>73</v>
      </c>
      <c r="E139" s="2">
        <v>2000</v>
      </c>
      <c r="F139" s="8" t="str">
        <f t="shared" si="4"/>
        <v>Федеральный</v>
      </c>
      <c r="G139" s="2" t="s">
        <v>470</v>
      </c>
    </row>
    <row r="140" spans="1:7">
      <c r="A140" s="2" t="s">
        <v>237</v>
      </c>
      <c r="B140" s="2" t="s">
        <v>238</v>
      </c>
      <c r="C140" s="2" t="s">
        <v>239</v>
      </c>
      <c r="D140" s="2" t="s">
        <v>26</v>
      </c>
      <c r="E140" s="2">
        <v>25</v>
      </c>
      <c r="F140" s="7" t="str">
        <f t="shared" si="4"/>
        <v>Локальный</v>
      </c>
      <c r="G140" s="2" t="s">
        <v>471</v>
      </c>
    </row>
    <row r="141" spans="1:7">
      <c r="A141" s="2" t="s">
        <v>348</v>
      </c>
      <c r="B141" s="2" t="s">
        <v>29</v>
      </c>
      <c r="C141" s="2" t="s">
        <v>349</v>
      </c>
      <c r="D141" s="2" t="s">
        <v>68</v>
      </c>
      <c r="E141" s="2">
        <v>1</v>
      </c>
      <c r="F141" s="8" t="str">
        <f t="shared" si="4"/>
        <v>Локальный</v>
      </c>
      <c r="G141" s="2"/>
    </row>
    <row r="142" spans="1:7">
      <c r="A142" s="2" t="s">
        <v>53</v>
      </c>
      <c r="B142" s="2" t="s">
        <v>6</v>
      </c>
      <c r="C142" s="2" t="s">
        <v>54</v>
      </c>
      <c r="D142" s="2" t="s">
        <v>55</v>
      </c>
      <c r="E142" s="2">
        <v>600</v>
      </c>
      <c r="F142" s="7" t="str">
        <f t="shared" si="4"/>
        <v>Региональный</v>
      </c>
      <c r="G142" s="2" t="s">
        <v>472</v>
      </c>
    </row>
  </sheetData>
  <sortState ref="A1:N19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C1" sqref="C1"/>
    </sheetView>
  </sheetViews>
  <sheetFormatPr defaultRowHeight="15"/>
  <cols>
    <col min="1" max="1" width="11.28515625" customWidth="1"/>
    <col min="2" max="2" width="43.42578125" customWidth="1"/>
    <col min="3" max="3" width="9.140625" customWidth="1"/>
  </cols>
  <sheetData>
    <row r="1" spans="1:3">
      <c r="A1">
        <v>1</v>
      </c>
      <c r="B1" t="s">
        <v>249</v>
      </c>
      <c r="C1">
        <v>77</v>
      </c>
    </row>
    <row r="2" spans="1:3">
      <c r="A2">
        <v>2</v>
      </c>
      <c r="B2" t="s">
        <v>250</v>
      </c>
      <c r="C2">
        <v>89</v>
      </c>
    </row>
    <row r="3" spans="1:3">
      <c r="A3">
        <v>3</v>
      </c>
      <c r="B3" t="s">
        <v>251</v>
      </c>
      <c r="C3">
        <v>50</v>
      </c>
    </row>
    <row r="4" spans="1:3">
      <c r="A4">
        <v>4</v>
      </c>
      <c r="B4" t="s">
        <v>252</v>
      </c>
      <c r="C4">
        <v>52</v>
      </c>
    </row>
    <row r="5" spans="1:3">
      <c r="A5">
        <v>5</v>
      </c>
      <c r="B5" t="s">
        <v>253</v>
      </c>
      <c r="C5">
        <v>54</v>
      </c>
    </row>
    <row r="6" spans="1:3">
      <c r="A6">
        <v>6</v>
      </c>
      <c r="B6" t="s">
        <v>254</v>
      </c>
      <c r="C6">
        <v>67</v>
      </c>
    </row>
    <row r="7" spans="1:3">
      <c r="A7">
        <v>7</v>
      </c>
      <c r="B7" t="s">
        <v>255</v>
      </c>
      <c r="C7">
        <v>37</v>
      </c>
    </row>
    <row r="8" spans="1:3">
      <c r="A8">
        <v>8</v>
      </c>
      <c r="B8" t="s">
        <v>256</v>
      </c>
      <c r="C8">
        <v>74</v>
      </c>
    </row>
    <row r="9" spans="1:3">
      <c r="A9">
        <v>9</v>
      </c>
      <c r="B9" t="s">
        <v>257</v>
      </c>
      <c r="C9">
        <v>61</v>
      </c>
    </row>
    <row r="10" spans="1:3">
      <c r="A10">
        <v>10</v>
      </c>
      <c r="B10" t="s">
        <v>258</v>
      </c>
      <c r="C10">
        <v>88</v>
      </c>
    </row>
    <row r="11" spans="1:3">
      <c r="A11">
        <v>11</v>
      </c>
      <c r="B11" t="s">
        <v>259</v>
      </c>
      <c r="C11">
        <v>82</v>
      </c>
    </row>
    <row r="12" spans="1:3">
      <c r="A12">
        <v>12</v>
      </c>
      <c r="B12" t="s">
        <v>260</v>
      </c>
      <c r="C12">
        <v>59</v>
      </c>
    </row>
    <row r="13" spans="1:3">
      <c r="A13">
        <v>13</v>
      </c>
      <c r="B13" t="s">
        <v>261</v>
      </c>
      <c r="C13">
        <v>43</v>
      </c>
    </row>
    <row r="14" spans="1:3">
      <c r="A14">
        <v>14</v>
      </c>
      <c r="B14" t="s">
        <v>262</v>
      </c>
      <c r="C14">
        <v>82</v>
      </c>
    </row>
    <row r="15" spans="1:3">
      <c r="A15">
        <v>15</v>
      </c>
      <c r="B15" t="s">
        <v>263</v>
      </c>
      <c r="C15">
        <v>56</v>
      </c>
    </row>
    <row r="16" spans="1:3">
      <c r="A16">
        <v>16</v>
      </c>
      <c r="B16" t="s">
        <v>264</v>
      </c>
      <c r="C16">
        <v>80</v>
      </c>
    </row>
    <row r="17" spans="1:3">
      <c r="A17">
        <v>17</v>
      </c>
      <c r="B17" t="s">
        <v>265</v>
      </c>
      <c r="C17">
        <v>72</v>
      </c>
    </row>
    <row r="18" spans="1:3">
      <c r="A18">
        <v>18</v>
      </c>
      <c r="B18" t="s">
        <v>266</v>
      </c>
      <c r="C18">
        <v>64</v>
      </c>
    </row>
    <row r="19" spans="1:3">
      <c r="A19">
        <v>19</v>
      </c>
      <c r="B19" t="s">
        <v>267</v>
      </c>
    </row>
    <row r="20" spans="1:3">
      <c r="A20">
        <v>20</v>
      </c>
      <c r="B20" t="s">
        <v>268</v>
      </c>
      <c r="C20">
        <v>57</v>
      </c>
    </row>
    <row r="21" spans="1:3">
      <c r="A21">
        <v>21</v>
      </c>
      <c r="B21" t="s">
        <v>269</v>
      </c>
      <c r="C21">
        <v>34</v>
      </c>
    </row>
    <row r="22" spans="1:3">
      <c r="A22">
        <v>22</v>
      </c>
      <c r="B22" t="s">
        <v>270</v>
      </c>
      <c r="C22">
        <v>50</v>
      </c>
    </row>
    <row r="23" spans="1:3">
      <c r="A23">
        <v>23</v>
      </c>
      <c r="B23" t="s">
        <v>271</v>
      </c>
      <c r="C23">
        <v>68</v>
      </c>
    </row>
    <row r="24" spans="1:3">
      <c r="A24">
        <v>24</v>
      </c>
      <c r="B24" t="s">
        <v>272</v>
      </c>
      <c r="C24">
        <v>57</v>
      </c>
    </row>
    <row r="25" spans="1:3">
      <c r="A25">
        <v>25</v>
      </c>
      <c r="B25" t="s">
        <v>273</v>
      </c>
      <c r="C25">
        <v>86</v>
      </c>
    </row>
    <row r="26" spans="1:3">
      <c r="A26">
        <v>26</v>
      </c>
      <c r="B26" t="s">
        <v>274</v>
      </c>
      <c r="C26">
        <v>35</v>
      </c>
    </row>
    <row r="27" spans="1:3">
      <c r="A27">
        <v>27</v>
      </c>
      <c r="B27" t="s">
        <v>275</v>
      </c>
      <c r="C27">
        <v>63</v>
      </c>
    </row>
    <row r="28" spans="1:3">
      <c r="A28">
        <v>28</v>
      </c>
      <c r="B28" t="s">
        <v>276</v>
      </c>
      <c r="C28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Shops</vt:lpstr>
      <vt:lpstr>Categories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Мероприятие $event: выгрузка $status</dc:title>
  <dc:creator>ЦЗС</dc:creator>
  <cp:lastModifiedBy>Менеджер_004</cp:lastModifiedBy>
  <dcterms:created xsi:type="dcterms:W3CDTF">2026-06-04T13:07:36Z</dcterms:created>
  <dcterms:modified xsi:type="dcterms:W3CDTF">2026-06-25T10:05:26Z</dcterms:modified>
</cp:coreProperties>
</file>